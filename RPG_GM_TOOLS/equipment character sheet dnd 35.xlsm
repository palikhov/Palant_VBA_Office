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alikhov\Desktop\"/>
    </mc:Choice>
  </mc:AlternateContent>
  <xr:revisionPtr revIDLastSave="0" documentId="8_{9E1E4A48-F97E-40B2-B7F4-18A6B0D52499}" xr6:coauthVersionLast="47" xr6:coauthVersionMax="47" xr10:uidLastSave="{00000000-0000-0000-0000-000000000000}"/>
  <bookViews>
    <workbookView xWindow="-120" yWindow="-120" windowWidth="29040" windowHeight="15840" xr2:uid="{D9832254-00C5-4E2E-A533-BC67958078A1}"/>
  </bookViews>
  <sheets>
    <sheet name="Equipment" sheetId="1" r:id="rId1"/>
  </sheets>
  <externalReferences>
    <externalReference r:id="rId2"/>
    <externalReference r:id="rId3"/>
  </externalReferences>
  <definedNames>
    <definedName name="cAbilities" localSheetId="0">Equipment!#REF!</definedName>
    <definedName name="cAlienistLevel">[1]reference!#REF!</definedName>
    <definedName name="cAlignment" localSheetId="0">Equipment!#REF!</definedName>
    <definedName name="cAnimal1" localSheetId="0">Equipment!#REF!</definedName>
    <definedName name="cAnimalCompanion" localSheetId="0">Equipment!#REF!</definedName>
    <definedName name="cAnimalCompanions">[1]reference!$A$981:$A$996</definedName>
    <definedName name="cAnimalLordCasterLevel">[1]reference!#REF!</definedName>
    <definedName name="cAnimalLordLevel">[1]reference!#REF!</definedName>
    <definedName name="cAnimals">[1]reference!$AA$947:$AA$949</definedName>
    <definedName name="cAnimalType" localSheetId="0">Equipment!#REF!</definedName>
    <definedName name="cArmor1">#REF!</definedName>
    <definedName name="cArmorCheck">[1]Combat!$AY$4</definedName>
    <definedName name="cArmorClass">[1]Combat!$J$3</definedName>
    <definedName name="cArmorClassNoDex">[1]Combat!$L$4</definedName>
    <definedName name="cArmorClassTouch">[1]Combat!$J$4</definedName>
    <definedName name="cArmorMaterials">[1]reference!#REF!</definedName>
    <definedName name="cArmorMaxDex">[1]Combat!$AV$4</definedName>
    <definedName name="cArmorSpeed" localSheetId="0">Equipment!#REF!</definedName>
    <definedName name="cArmorType">[1]Combat!$BF$20</definedName>
    <definedName name="cArmsandArmor">[1]reference!#REF!</definedName>
    <definedName name="cAttackBonus2" localSheetId="0">Equipment!#REF!</definedName>
    <definedName name="cAttackBonus3" localSheetId="0">Equipment!#REF!</definedName>
    <definedName name="cAttackBonus4" localSheetId="0">Equipment!#REF!</definedName>
    <definedName name="cAttackBonus5" localSheetId="0">Equipment!#REF!</definedName>
    <definedName name="cBAB">[1]Class!$AA$11</definedName>
    <definedName name="cBarbarianLevel">[1]reference!$B$106</definedName>
    <definedName name="cBarbarianSpeedBonus" localSheetId="0">Equipment!#REF!</definedName>
    <definedName name="cBarding" localSheetId="0">Equipment!#REF!</definedName>
    <definedName name="cBaseAttack">[1]Class!$AB$11</definedName>
    <definedName name="cBeastTamerLevel">[1]reference!#REF!</definedName>
    <definedName name="cBerserkerLevel">[1]reference!#REF!</definedName>
    <definedName name="cBladesingerCasterLevel">[1]reference!#REF!</definedName>
    <definedName name="cBlighterCasterLevel">[1]reference!#REF!</definedName>
    <definedName name="cBlighterLevel">[1]reference!#REF!</definedName>
    <definedName name="cBloodhoundLevel">[1]reference!#REF!</definedName>
    <definedName name="cBloodMagusLevel">[1]reference!#REF!</definedName>
    <definedName name="cBowInitiateLevel">[1]reference!#REF!</definedName>
    <definedName name="cCandleCasterLevel">[1]reference!#REF!</definedName>
    <definedName name="cCarryingLoad" localSheetId="0">Equipment!$Z$42</definedName>
    <definedName name="cCastClass1" localSheetId="0">Equipment!#REF!</definedName>
    <definedName name="cCastClass2" localSheetId="0">Equipment!#REF!</definedName>
    <definedName name="cCastClass3" localSheetId="0">Equipment!#REF!</definedName>
    <definedName name="cCastClass4" localSheetId="0">Equipment!#REF!</definedName>
    <definedName name="cCavalierLevel">[1]reference!#REF!</definedName>
    <definedName name="cCha" localSheetId="0">Equipment!#REF!</definedName>
    <definedName name="cChainMasterLevel">[1]reference!#REF!</definedName>
    <definedName name="cChaliceKnightCasterLevel">[1]reference!#REF!</definedName>
    <definedName name="cChaliceKnightLevel">[1]reference!#REF!</definedName>
    <definedName name="cChaMod" localSheetId="0">Equipment!#REF!</definedName>
    <definedName name="cChaModNorm" localSheetId="0">Equipment!#REF!</definedName>
    <definedName name="cChaModTemp" localSheetId="0">Equipment!#REF!</definedName>
    <definedName name="cCharLevel">[1]reference!$B$177</definedName>
    <definedName name="cChaTemp" localSheetId="0">Equipment!#REF!</definedName>
    <definedName name="cChurchInquisitorLevel">[1]reference!#REF!</definedName>
    <definedName name="cClasses">[1]Class!$B$6:$B$10</definedName>
    <definedName name="cClassFeatures">[1]reference!$I$177</definedName>
    <definedName name="cClassProg">#REF!</definedName>
    <definedName name="cClassProgLevel">#REF!</definedName>
    <definedName name="cClericDomains" localSheetId="0">Equipment!#REF!</definedName>
    <definedName name="cClericLevel">[1]reference!$B$108</definedName>
    <definedName name="cCon" localSheetId="0">Equipment!#REF!</definedName>
    <definedName name="cConMod" localSheetId="0">Equipment!#REF!</definedName>
    <definedName name="cConModNorm" localSheetId="0">Equipment!#REF!</definedName>
    <definedName name="cConModTemp" localSheetId="0">Equipment!#REF!</definedName>
    <definedName name="cConsecratedHarrierCasterLevel">[1]reference!#REF!</definedName>
    <definedName name="cConsecratedHarrierLevel">[1]reference!#REF!</definedName>
    <definedName name="cConTemp" localSheetId="0">Equipment!#REF!</definedName>
    <definedName name="cContemplativeLevel">[1]reference!#REF!</definedName>
    <definedName name="cCrimsonRoadOutlawLevel">[1]reference!#REF!</definedName>
    <definedName name="cDarkvision">[1]reference!$D$73</definedName>
    <definedName name="cDashSpeedBonus" localSheetId="0">Equipment!#REF!</definedName>
    <definedName name="cDeadHunterCasterLevel">[1]reference!#REF!</definedName>
    <definedName name="cDeadHunterLevel">[1]reference!#REF!</definedName>
    <definedName name="cDeepwoodSniperLevel">[1]reference!#REF!</definedName>
    <definedName name="cdefensearmor">[1]reference!#REF!</definedName>
    <definedName name="cDevotedDefenderLevel">[1]reference!#REF!</definedName>
    <definedName name="cDex" localSheetId="0">Equipment!#REF!</definedName>
    <definedName name="cDexMod" localSheetId="0">Equipment!#REF!</definedName>
    <definedName name="cDexModNorm" localSheetId="0">Equipment!#REF!</definedName>
    <definedName name="cDexModTemp" localSheetId="0">Equipment!#REF!</definedName>
    <definedName name="cDexTemp" localSheetId="0">Equipment!#REF!</definedName>
    <definedName name="cDivineOracleLevel">[1]reference!#REF!</definedName>
    <definedName name="cdomains">[1]reference!$A$906:$A$943</definedName>
    <definedName name="cDreadPirateLevel">[1]reference!#REF!</definedName>
    <definedName name="cDruidLevel">[1]reference!$B$109</definedName>
    <definedName name="cDrunkenMasterLevel">[1]reference!#REF!</definedName>
    <definedName name="cDungeonDelverLevel">[1]reference!#REF!</definedName>
    <definedName name="cEgoistCasterLevel">[1]reference!#REF!</definedName>
    <definedName name="cElementalSavantLevel">[1]reference!#REF!</definedName>
    <definedName name="cEnchantment">[1]reference!#REF!</definedName>
    <definedName name="cEnchantments">[1]reference!#REF!</definedName>
    <definedName name="cExoticWeaponMasterLevel">[1]reference!#REF!</definedName>
    <definedName name="cExperience" localSheetId="0">Equipment!#REF!</definedName>
    <definedName name="cfamiliar" localSheetId="0">Equipment!#REF!</definedName>
    <definedName name="cFamiliars">[1]reference!$A$947:$A$966</definedName>
    <definedName name="cFatespinnerLevel">[1]reference!#REF!</definedName>
    <definedName name="cFeats" localSheetId="0">Equipment!#REF!</definedName>
    <definedName name="cFoeHunterLevel">[1]reference!#REF!</definedName>
    <definedName name="cForsakerLevel">[1]reference!#REF!</definedName>
    <definedName name="cFort">[1]reference!$C$177</definedName>
    <definedName name="cFortMod">[1]Class!$BF$6</definedName>
    <definedName name="cFrenziedBerserkerLevel">[1]reference!#REF!</definedName>
    <definedName name="cGender" localSheetId="0">Equipment!#REF!</definedName>
    <definedName name="cGeomancerLevel">[1]reference!#REF!</definedName>
    <definedName name="cGhostwalkerLevel">[1]reference!#REF!</definedName>
    <definedName name="cGladiatorLevel">[1]reference!#REF!</definedName>
    <definedName name="cGruumshEyeLevel">[1]reference!#REF!</definedName>
    <definedName name="cGuildmageLevel">[1]reference!#REF!</definedName>
    <definedName name="cHand" localSheetId="0">Equipment!#REF!</definedName>
    <definedName name="chands">[1]reference!$E$183:$E$184</definedName>
    <definedName name="cHexerLevel">[1]reference!#REF!</definedName>
    <definedName name="cHextorFistLevel">[1]reference!#REF!</definedName>
    <definedName name="cHolyLiberatorCasterLevel">[1]reference!#REF!</definedName>
    <definedName name="cHolyLiberatorLevel">[1]reference!#REF!</definedName>
    <definedName name="cHospitalerLevel">[1]reference!#REF!</definedName>
    <definedName name="cInfidelBaneLevel">[1]reference!#REF!</definedName>
    <definedName name="cInt" localSheetId="0">Equipment!#REF!</definedName>
    <definedName name="cIntMod" localSheetId="0">Equipment!#REF!</definedName>
    <definedName name="cIntModNat" localSheetId="0">Equipment!#REF!</definedName>
    <definedName name="cIntModNorm" localSheetId="0">Equipment!#REF!</definedName>
    <definedName name="cIntModTemp" localSheetId="0">Equipment!#REF!</definedName>
    <definedName name="cIntTemp" localSheetId="0">Equipment!#REF!</definedName>
    <definedName name="cItemType1">#REF!</definedName>
    <definedName name="cKnightCrownLevel">[1]reference!#REF!</definedName>
    <definedName name="cKnightProtectorLevel">[1]reference!#REF!</definedName>
    <definedName name="cKnightRoseLevel">[1]reference!#REF!</definedName>
    <definedName name="cKnightSwordLevel">[1]reference!#REF!</definedName>
    <definedName name="cLasherLevel">[1]reference!#REF!</definedName>
    <definedName name="cLoadCheck" localSheetId="0">Equipment!$AG$42</definedName>
    <definedName name="cLoadMaxDex" localSheetId="0">Equipment!$AD$42</definedName>
    <definedName name="cLoadSpeed" localSheetId="0">Equipment!#REF!</definedName>
    <definedName name="cLolthFangLevel">[1]reference!#REF!</definedName>
    <definedName name="cLoremasterLevel">[1]reference!$B$157</definedName>
    <definedName name="cLowLightVision">[1]reference!$E$73</definedName>
    <definedName name="cMagicItems">[1]reference!#REF!</definedName>
    <definedName name="cMagicSpec" localSheetId="0">Equipment!#REF!</definedName>
    <definedName name="cMasterSamuraiLevel">[1]reference!#REF!</definedName>
    <definedName name="cMetamindCasterLevel">[1]reference!#REF!</definedName>
    <definedName name="cMetamindLevel">[1]reference!#REF!</definedName>
    <definedName name="cMiddleCircleKnightCasterLevel">[1]reference!#REF!</definedName>
    <definedName name="cMiddleCircleKnightLevel">[1]reference!#REF!</definedName>
    <definedName name="cMindbenderLevel">[1]reference!#REF!</definedName>
    <definedName name="cMonkAttack">[1]Class!$AK$11</definedName>
    <definedName name="cMonkAttack1" localSheetId="0">Equipment!#REF!</definedName>
    <definedName name="cMonkAttack1">[1]Character!#REF!</definedName>
    <definedName name="cMonkAttack2" localSheetId="0">Equipment!#REF!</definedName>
    <definedName name="cMonkAttack2">[1]Character!#REF!</definedName>
    <definedName name="cMonkAttack3" localSheetId="0">Equipment!#REF!</definedName>
    <definedName name="cMonkAttack3">[1]Character!#REF!</definedName>
    <definedName name="cMonkAttack4" localSheetId="0">Equipment!#REF!</definedName>
    <definedName name="cMonkAttack4">[1]Character!#REF!</definedName>
    <definedName name="cMonkAttack5" localSheetId="0">Equipment!#REF!</definedName>
    <definedName name="cMonkAttack5">[1]Character!#REF!</definedName>
    <definedName name="cMonkLevel">[1]reference!$B$111</definedName>
    <definedName name="cMonkSpeed" localSheetId="0">Equipment!#REF!</definedName>
    <definedName name="cMount" localSheetId="0">Equipment!#REF!</definedName>
    <definedName name="cNaturalWeapon1">[1]reference!#REF!</definedName>
    <definedName name="cNaturalWeapon2">[1]reference!#REF!</definedName>
    <definedName name="cNaturalWeapon3">[1]reference!#REF!</definedName>
    <definedName name="cNextLevel" localSheetId="0">Equipment!#REF!</definedName>
    <definedName name="cNinjaLevel">[1]reference!#REF!</definedName>
    <definedName name="cNomadCasterLevel">[1]reference!#REF!</definedName>
    <definedName name="cOozemasterLevel">[1]reference!#REF!</definedName>
    <definedName name="cOrders">[1]reference!#REF!</definedName>
    <definedName name="cOutriderLevel">[1]reference!#REF!</definedName>
    <definedName name="cPaladinLevel">[1]reference!$B$112</definedName>
    <definedName name="cPalemasterLevel">[1]reference!#REF!</definedName>
    <definedName name="cPersonalities">[1]reference!$A$1634:$A$1649</definedName>
    <definedName name="cPersonality1" localSheetId="0">Equipment!#REF!</definedName>
    <definedName name="cPersonality2" localSheetId="0">Equipment!#REF!</definedName>
    <definedName name="cPowerPoints">[1]Class!#REF!</definedName>
    <definedName name="cPP">[2]Character!$BF$126</definedName>
    <definedName name="cprestigepaladinlevel">[1]reference!$B$164</definedName>
    <definedName name="cPrestigeRangerLevel">[1]reference!#REF!</definedName>
    <definedName name="cPrestigeSpellPerDayLevel">[1]reference!$AJ$176</definedName>
    <definedName name="cPsicrystal2" localSheetId="0">Equipment!#REF!</definedName>
    <definedName name="cPsicrystal2">[1]Character!#REF!</definedName>
    <definedName name="cPsionLevel">[1]Class!$BF$11</definedName>
    <definedName name="cPsychicWarriorCasterLevel">[1]reference!#REF!</definedName>
    <definedName name="cPsychicWarriorLevel">[1]reference!$B$133</definedName>
    <definedName name="cPyrokineticistCasterLevel">[1]reference!#REF!</definedName>
    <definedName name="cPyrokineticistLevel">[1]reference!#REF!</definedName>
    <definedName name="cQuick" localSheetId="0">Equipment!#REF!</definedName>
    <definedName name="cRace" localSheetId="0">Equipment!#REF!</definedName>
    <definedName name="cRaceSpeed" localSheetId="0">Equipment!#REF!</definedName>
    <definedName name="cRavagerLevel">[1]reference!#REF!</definedName>
    <definedName name="cRedAvengerLevel">[1]reference!#REF!</definedName>
    <definedName name="cRef">[1]reference!$D$177</definedName>
    <definedName name="cRefMod">[1]Class!$BF$7</definedName>
    <definedName name="cRoyalExplorerLevel">[1]reference!#REF!</definedName>
    <definedName name="cSacredExorcistLevel">[1]reference!#REF!</definedName>
    <definedName name="cSacredFistCasterLevel">[1]reference!#REF!</definedName>
    <definedName name="cSacredFistLevel">[1]reference!#REF!</definedName>
    <definedName name="cSavantCasterLevel">[1]reference!#REF!</definedName>
    <definedName name="cSavantLevel">[1]reference!#REF!</definedName>
    <definedName name="cSchools">[1]reference!$J$180:$J$187</definedName>
    <definedName name="cSeerCasterLevel">[1]reference!#REF!</definedName>
    <definedName name="cShaperCasterLevel">[1]reference!#REF!</definedName>
    <definedName name="cShifterLevel">[1]reference!#REF!</definedName>
    <definedName name="cShroudMasterLevel">[1]reference!#REF!</definedName>
    <definedName name="cSize" localSheetId="0">Equipment!#REF!</definedName>
    <definedName name="cSizeComp" localSheetId="0">Equipment!#REF!</definedName>
    <definedName name="cSizeMod" localSheetId="0">Equipment!#REF!</definedName>
    <definedName name="cSkillOther1">[1]Skills!#REF!</definedName>
    <definedName name="cSkillOther2">[1]Skills!#REF!</definedName>
    <definedName name="cSkillOther3">[1]Skills!#REF!</definedName>
    <definedName name="cSkillPoints">[1]Class!$BA$11</definedName>
    <definedName name="cSkillSources">[1]Class!#REF!</definedName>
    <definedName name="cSkillValues">[1]Skills!$B$4:$BG$53</definedName>
    <definedName name="cSkinAcolyteLevel">[1]reference!#REF!</definedName>
    <definedName name="cSlayerCasterLevel">[1]reference!#REF!</definedName>
    <definedName name="cSlayerLevel">[1]reference!#REF!</definedName>
    <definedName name="cSoulknifeCasterLevel">[1]reference!#REF!</definedName>
    <definedName name="cSoulknifeLevel">[1]reference!#REF!</definedName>
    <definedName name="cSpecialMounts">[1]reference!$A$967:$A$980</definedName>
    <definedName name="cspeed" localSheetId="0">Equipment!#REF!</definedName>
    <definedName name="cspeed">[1]Character!#REF!</definedName>
    <definedName name="cSpellClasses" localSheetId="0">Equipment!#REF!</definedName>
    <definedName name="cSpellFailure">[1]Combat!$BB$4</definedName>
    <definedName name="cSpellswordLevel">[1]reference!#REF!</definedName>
    <definedName name="cSpymasterLevel">[1]reference!#REF!</definedName>
    <definedName name="cStr" localSheetId="0">Equipment!#REF!</definedName>
    <definedName name="cStrMod" localSheetId="0">Equipment!#REF!</definedName>
    <definedName name="cStrModNorm" localSheetId="0">Equipment!#REF!</definedName>
    <definedName name="cStrModTemp" localSheetId="0">Equipment!#REF!</definedName>
    <definedName name="cStrTemp" localSheetId="0">Equipment!#REF!</definedName>
    <definedName name="csubtype">[1]reference!$G$72</definedName>
    <definedName name="cSynergyBonuses">[1]Skills!$BF$56</definedName>
    <definedName name="cTelepathCasterLevel">[1]reference!#REF!</definedName>
    <definedName name="cTempestLevel">[1]reference!#REF!</definedName>
    <definedName name="cTemplarCasterLevel">[1]reference!#REF!</definedName>
    <definedName name="cTemplarLevel">[1]reference!#REF!</definedName>
    <definedName name="ctemplate" localSheetId="0">Equipment!#REF!</definedName>
    <definedName name="ctemplates">[1]reference!$A$52:$A$68</definedName>
    <definedName name="cTempleRaiderCasterLevel">[1]reference!#REF!</definedName>
    <definedName name="cTempleRaiderLevel">[1]reference!#REF!</definedName>
    <definedName name="cThiefAcrobatLevel">[1]reference!#REF!</definedName>
    <definedName name="cTribalProtectorLevel">[1]reference!#REF!</definedName>
    <definedName name="cTrueNecromancerLevel">[1]reference!#REF!</definedName>
    <definedName name="cTurn" localSheetId="0">Equipment!#REF!</definedName>
    <definedName name="cTurningLevel" localSheetId="0">Equipment!#REF!</definedName>
    <definedName name="cTurnNormal" localSheetId="0">Equipment!#REF!</definedName>
    <definedName name="cTurnUndead" localSheetId="0">Equipment!#REF!</definedName>
    <definedName name="cTurnVarient" localSheetId="0">Equipment!#REF!</definedName>
    <definedName name="cVerdantLordLevel">[1]reference!#REF!</definedName>
    <definedName name="cVigilanteCasterLevel">[1]reference!#REF!</definedName>
    <definedName name="cVigilanteLevel">[1]reference!#REF!</definedName>
    <definedName name="cVirtuosoLevel">[1]reference!#REF!</definedName>
    <definedName name="cWarmasterLevel">[1]reference!#REF!</definedName>
    <definedName name="cWatchDetectiveLevel">[1]reference!#REF!</definedName>
    <definedName name="cWayfarerGuideLevel">[1]reference!#REF!</definedName>
    <definedName name="cWeapon1">[1]Combat!$B$33</definedName>
    <definedName name="cWeapon2">[1]Combat!$B$44</definedName>
    <definedName name="cWeapon3">[1]Combat!$B$55</definedName>
    <definedName name="cWeapon4">[1]Combat!$B$66</definedName>
    <definedName name="cWeapon5">[1]Combat!$B$77</definedName>
    <definedName name="cWeapon6">[1]Combat!#REF!</definedName>
    <definedName name="cWeapon7">[1]Combat!#REF!</definedName>
    <definedName name="cWeapon8">[1]Combat!#REF!</definedName>
    <definedName name="cWeaponAttack1">[1]Combat!$H$39</definedName>
    <definedName name="cWeaponAttack2">[1]Combat!$H$50</definedName>
    <definedName name="cWeaponAttack3">[1]Combat!$H$61</definedName>
    <definedName name="cWeaponAttack4">[1]Combat!$H$72</definedName>
    <definedName name="cWeaponAttack5">[1]Combat!$H$83</definedName>
    <definedName name="cWeaponAttack6">[1]Combat!#REF!</definedName>
    <definedName name="cWeaponAttack7">[1]Combat!#REF!</definedName>
    <definedName name="cWeaponAttack8">[1]Combat!#REF!</definedName>
    <definedName name="cWeaponCrit1">[1]Combat!$AT$40</definedName>
    <definedName name="cWeaponCrit2">[1]Combat!$AT$51</definedName>
    <definedName name="cWeaponCrit3">[1]Combat!$AT$62</definedName>
    <definedName name="cWeaponCrit4">[1]Combat!$AT$73</definedName>
    <definedName name="cWeaponCrit5">[1]Combat!$AT$84</definedName>
    <definedName name="cWeaponCrit6">[1]Combat!#REF!</definedName>
    <definedName name="cWeaponCrit7">[1]Combat!#REF!</definedName>
    <definedName name="cWeaponCrit8">[1]Combat!#REF!</definedName>
    <definedName name="cWeaponDamage1">[1]Combat!$H$40</definedName>
    <definedName name="cWeaponDamage2">[1]Combat!$H$51</definedName>
    <definedName name="cWeaponDamage3">[1]Combat!$H$62</definedName>
    <definedName name="cWeaponDamage4">[1]Combat!$H$73</definedName>
    <definedName name="cWeaponDamage5">[1]Combat!$H$84</definedName>
    <definedName name="cWeaponDamage6">[1]Combat!#REF!</definedName>
    <definedName name="cWeaponDamage7">[1]Combat!#REF!</definedName>
    <definedName name="cWeaponDamage8">[1]Combat!#REF!</definedName>
    <definedName name="cWeaponMasterLevel">[1]reference!#REF!</definedName>
    <definedName name="cWeaponNote1">[1]Combat!$BF$35</definedName>
    <definedName name="cWeaponNote2">[1]Combat!$BF$46</definedName>
    <definedName name="cWeaponNote3">[1]Combat!$BF$57</definedName>
    <definedName name="cWeaponNote4">[1]Combat!$BF$68</definedName>
    <definedName name="cWeaponNote5">[1]Combat!$BF$79</definedName>
    <definedName name="cWeaponNote6">[1]Combat!#REF!</definedName>
    <definedName name="cWeaponNote7">[1]Combat!#REF!</definedName>
    <definedName name="cWeaponNote8">[1]Combat!#REF!</definedName>
    <definedName name="cWeightCarried" localSheetId="0">Equipment!$BF$41</definedName>
    <definedName name="cWildRulerLevel">[1]reference!#REF!</definedName>
    <definedName name="cWill">[1]reference!$E$177</definedName>
    <definedName name="cWillMod">[1]Class!$BF$8</definedName>
    <definedName name="cWindriderCasterLevel">[1]reference!#REF!</definedName>
    <definedName name="cWindriderLevel">[1]reference!#REF!</definedName>
    <definedName name="cWis" localSheetId="0">Equipment!#REF!</definedName>
    <definedName name="cWisMod" localSheetId="0">Equipment!#REF!</definedName>
    <definedName name="cWisModNorm" localSheetId="0">Equipment!#REF!</definedName>
    <definedName name="cWisModTemp" localSheetId="0">Equipment!#REF!</definedName>
    <definedName name="cWisTemp" localSheetId="0">Equipment!#REF!</definedName>
    <definedName name="cWounds">[1]Class!#REF!</definedName>
    <definedName name="eEquipment">Equipment!$B$1</definedName>
    <definedName name="Equipment">"List!$A$26:$U$1578"</definedName>
    <definedName name="link_EQUIPMENT" localSheetId="0">Equipment!$A$49</definedName>
    <definedName name="link_HOME" localSheetId="0">Equipment!#REF!</definedName>
    <definedName name="link_SKILLS" localSheetId="0">Equipment!#REF!</definedName>
    <definedName name="link_SKILLS">[1]Character!#REF!</definedName>
    <definedName name="link_SPELLS" localSheetId="0">Equipment!#REF!</definedName>
    <definedName name="link_TRAITS" localSheetId="0">Equipment!#REF!</definedName>
    <definedName name="tSpellClasses">#REF!</definedName>
    <definedName name="vAbilities" localSheetId="0">Equipment!#REF!</definedName>
    <definedName name="vAlignments">[1]reference!$B$180:$B$188</definedName>
    <definedName name="vAnimalCompanionValues">[1]reference!$A$981:$Y$996</definedName>
    <definedName name="vArmor">[1]reference!$A$208:$A$222</definedName>
    <definedName name="vArmorMatCost">[1]reference!#REF!</definedName>
    <definedName name="vBlighterSpells">[1]reference!#REF!</definedName>
    <definedName name="vClassProg">[1]reference!#REF!</definedName>
    <definedName name="vClassValues">[1]reference!$A$83:$DE$176</definedName>
    <definedName name="vClericDomainValues">[1]reference!$A$906:$B$944</definedName>
    <definedName name="vdefensivebonusvalues">[1]reference!#REF!</definedName>
    <definedName name="vEnchantmentValues">[1]reference!#REF!</definedName>
    <definedName name="vFamiliarValues">[1]reference!$A$947:$Y$966</definedName>
    <definedName name="vFeats">[1]reference!$A$434:$A$887</definedName>
    <definedName name="vFeatValues">[1]reference!$A$434:$B$887</definedName>
    <definedName name="vFlawValues">[1]reference!#REF!</definedName>
    <definedName name="vLoadValues">[1]reference!$A$1060:$H$1063</definedName>
    <definedName name="vMetamindValues">[1]reference!#REF!</definedName>
    <definedName name="vMonkSpeeds">[1]reference!$A$1066:$D$1086</definedName>
    <definedName name="vMountValues">[1]reference!$A$967:$Y$980</definedName>
    <definedName name="vMysticSpellsknown">[1]reference!#REF!</definedName>
    <definedName name="vNaturalWeapons">[1]reference!#REF!</definedName>
    <definedName name="vNaturalWeaponValues">[1]reference!#REF!</definedName>
    <definedName name="vPersonalityValues">[1]reference!$A$1634:$B$1649</definedName>
    <definedName name="vPointBuy">[1]reference!$H$180:$I$191</definedName>
    <definedName name="vPowerPointBonus">[1]reference!#REF!</definedName>
    <definedName name="vPsicrystals">[1]reference!#REF!</definedName>
    <definedName name="vPsicrystalTraits">[1]reference!#REF!</definedName>
    <definedName name="vPsionicCombatModes">[1]reference!#REF!</definedName>
    <definedName name="vPsionicCombatValues">[1]reference!#REF!</definedName>
    <definedName name="vPsionPrestigeValues">[1]reference!#REF!</definedName>
    <definedName name="vPsychicWarriorValues">[1]reference!$B$1589:$D$1609</definedName>
    <definedName name="vRaces">[1]reference!$A$9:$A$50</definedName>
    <definedName name="vracesize">[1]reference!$F$180:$G$182</definedName>
    <definedName name="vRaceValues">[1]reference!$A$9:$CL$50</definedName>
    <definedName name="vShugenjaSpellsKnown1">[1]reference!#REF!</definedName>
    <definedName name="vShugenjaSpellsKnown2">[1]reference!#REF!</definedName>
    <definedName name="vSizeValues">[1]reference!$B$201:$J$204</definedName>
    <definedName name="vtotalracevalue">[1]reference!$B$71:$CL$73</definedName>
    <definedName name="vTraitValues">[1]reference!#REF!</definedName>
    <definedName name="vVigilanteSpells">[1]reference!#REF!</definedName>
    <definedName name="vVigilanteSpellsKnown">[1]reference!#REF!</definedName>
    <definedName name="vWeightCap">[1]reference!$A$1030:$B$1058</definedName>
    <definedName name="vWieldTypeValues">[1]reference!$B$403:$J$407</definedName>
    <definedName name="vWindriderMountTraits">[1]reference!#REF!</definedName>
    <definedName name="_xlnm.Print_Area" localSheetId="0">Equipment!$A$1:$BE$59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42" i="1" l="1"/>
  <c r="Q42" i="1"/>
  <c r="AY41" i="1"/>
  <c r="BB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Default</author>
  </authors>
  <commentList>
    <comment ref="B1" authorId="0" shapeId="0" xr:uid="{73A09AF7-346F-408C-97C7-8E7D45174CC5}">
      <text>
        <r>
          <rPr>
            <b/>
            <sz val="8"/>
            <color indexed="81"/>
            <rFont val="Tahoma"/>
          </rPr>
          <t>Equipment Carried:</t>
        </r>
        <r>
          <rPr>
            <sz val="8"/>
            <color indexed="81"/>
            <rFont val="Tahoma"/>
          </rPr>
          <t xml:space="preserve">
Enter information about equipment carried in the spaces below. The total weight carried will be used to determine the character's load, speed, penalty to skills, and so forth.</t>
        </r>
      </text>
    </comment>
    <comment ref="AS41" authorId="0" shapeId="0" xr:uid="{598652A2-B255-495C-9364-546357787A9C}">
      <text>
        <r>
          <rPr>
            <b/>
            <sz val="8"/>
            <color indexed="81"/>
            <rFont val="Tahoma"/>
          </rPr>
          <t>Total:</t>
        </r>
        <r>
          <rPr>
            <sz val="8"/>
            <color indexed="81"/>
            <rFont val="Tahoma"/>
          </rPr>
          <t xml:space="preserve">
The total weight carried does not include non-equipped items.</t>
        </r>
      </text>
    </comment>
    <comment ref="B42" authorId="0" shapeId="0" xr:uid="{F18AA222-6D59-4B66-A7B8-A7BD5DAE98DE}">
      <text>
        <r>
          <rPr>
            <b/>
            <sz val="8"/>
            <color indexed="81"/>
            <rFont val="Tahoma"/>
          </rPr>
          <t>Carrying Capacity and Load:</t>
        </r>
        <r>
          <rPr>
            <sz val="8"/>
            <color indexed="81"/>
            <rFont val="Tahoma"/>
          </rPr>
          <t xml:space="preserve">
The character's carrying capacity and load will be calculated automatically based on Strength and on the weight of equipment carried.</t>
        </r>
      </text>
    </comment>
  </commentList>
</comments>
</file>

<file path=xl/sharedStrings.xml><?xml version="1.0" encoding="utf-8"?>
<sst xmlns="http://schemas.openxmlformats.org/spreadsheetml/2006/main" count="28" uniqueCount="25">
  <si>
    <t>r</t>
  </si>
  <si>
    <t>EQUIPMENT</t>
  </si>
  <si>
    <t xml:space="preserve"> </t>
  </si>
  <si>
    <t>Mundane Items</t>
  </si>
  <si>
    <t>Wgt</t>
  </si>
  <si>
    <t>Magical Items</t>
  </si>
  <si>
    <t>Notes</t>
  </si>
  <si>
    <t>light</t>
  </si>
  <si>
    <t>medium</t>
  </si>
  <si>
    <t>heavy</t>
  </si>
  <si>
    <t>load</t>
  </si>
  <si>
    <t>max dex</t>
  </si>
  <si>
    <t>check</t>
  </si>
  <si>
    <t>move</t>
  </si>
  <si>
    <t>Total:</t>
  </si>
  <si>
    <t>Carrying Capacity:</t>
  </si>
  <si>
    <t>Treasure</t>
  </si>
  <si>
    <t>Platinum Pieces</t>
  </si>
  <si>
    <t>Other</t>
  </si>
  <si>
    <t>Item Description</t>
  </si>
  <si>
    <t>GP Value</t>
  </si>
  <si>
    <t>Gold Pieces</t>
  </si>
  <si>
    <t>Silver Pieces</t>
  </si>
  <si>
    <t>Copper Pieces</t>
  </si>
  <si>
    <t>Gems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</si>
</sst>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5" x14ac:knownFonts="1">
    <font>
      <sz val="10"/>
      <name val="Arial"/>
    </font>
    <font>
      <sz val="10"/>
      <name val="Arial"/>
    </font>
    <font>
      <sz val="9"/>
      <color indexed="9"/>
      <name val="Book Antiqua"/>
      <family val="1"/>
    </font>
    <font>
      <b/>
      <sz val="10"/>
      <name val="Book Antiqua"/>
      <family val="1"/>
    </font>
    <font>
      <sz val="10"/>
      <name val="Book Antiqua"/>
      <family val="1"/>
    </font>
    <font>
      <sz val="8"/>
      <name val="Book Antiqua"/>
      <family val="1"/>
    </font>
    <font>
      <sz val="7"/>
      <name val="Book Antiqua"/>
      <family val="1"/>
    </font>
    <font>
      <sz val="7"/>
      <name val="Arial"/>
    </font>
    <font>
      <sz val="6"/>
      <name val="Arial"/>
    </font>
    <font>
      <b/>
      <sz val="9"/>
      <name val="Book Antiqua"/>
      <family val="1"/>
    </font>
    <font>
      <sz val="8"/>
      <color indexed="22"/>
      <name val="Book Antiqua"/>
      <family val="1"/>
    </font>
    <font>
      <b/>
      <sz val="8"/>
      <name val="Book Antiqua"/>
      <family val="1"/>
    </font>
    <font>
      <b/>
      <sz val="7"/>
      <name val="Book Antiqua"/>
      <family val="1"/>
    </font>
    <font>
      <b/>
      <sz val="8"/>
      <color indexed="81"/>
      <name val="Tahoma"/>
    </font>
    <font>
      <sz val="8"/>
      <color indexed="81"/>
      <name val="Tahoma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4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19">
    <xf numFmtId="0" fontId="0" fillId="0" borderId="0" xfId="0"/>
    <xf numFmtId="0" fontId="2" fillId="2" borderId="0" xfId="0" applyFont="1" applyFill="1" applyAlignment="1" applyProtection="1">
      <alignment vertical="center"/>
      <protection hidden="1"/>
    </xf>
    <xf numFmtId="0" fontId="3" fillId="3" borderId="1" xfId="0" applyFont="1" applyFill="1" applyBorder="1" applyAlignment="1">
      <alignment vertical="center"/>
    </xf>
    <xf numFmtId="0" fontId="3" fillId="3" borderId="2" xfId="0" applyFont="1" applyFill="1" applyBorder="1" applyAlignment="1">
      <alignment vertical="center"/>
    </xf>
    <xf numFmtId="0" fontId="3" fillId="3" borderId="3" xfId="0" applyFont="1" applyFill="1" applyBorder="1" applyAlignment="1">
      <alignment vertical="center"/>
    </xf>
    <xf numFmtId="0" fontId="4" fillId="2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5" fillId="3" borderId="0" xfId="0" applyFont="1" applyFill="1" applyAlignment="1" applyProtection="1">
      <alignment vertical="center"/>
      <protection hidden="1"/>
    </xf>
    <xf numFmtId="49" fontId="4" fillId="4" borderId="0" xfId="0" applyNumberFormat="1" applyFont="1" applyFill="1" applyAlignment="1">
      <alignment vertical="center"/>
    </xf>
    <xf numFmtId="49" fontId="4" fillId="4" borderId="0" xfId="0" applyNumberFormat="1" applyFont="1" applyFill="1" applyAlignment="1" applyProtection="1">
      <alignment vertical="center"/>
      <protection locked="0"/>
    </xf>
    <xf numFmtId="0" fontId="6" fillId="0" borderId="4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left" vertical="center"/>
    </xf>
    <xf numFmtId="0" fontId="6" fillId="0" borderId="7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5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7" fillId="0" borderId="12" xfId="0" applyFont="1" applyBorder="1"/>
    <xf numFmtId="0" fontId="7" fillId="0" borderId="13" xfId="0" applyFont="1" applyBorder="1"/>
    <xf numFmtId="0" fontId="7" fillId="0" borderId="14" xfId="0" applyFont="1" applyBorder="1"/>
    <xf numFmtId="164" fontId="7" fillId="0" borderId="15" xfId="0" applyNumberFormat="1" applyFont="1" applyBorder="1"/>
    <xf numFmtId="164" fontId="7" fillId="0" borderId="13" xfId="0" applyNumberFormat="1" applyFont="1" applyBorder="1"/>
    <xf numFmtId="164" fontId="7" fillId="0" borderId="16" xfId="0" applyNumberFormat="1" applyFont="1" applyBorder="1"/>
    <xf numFmtId="0" fontId="6" fillId="0" borderId="1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164" fontId="8" fillId="0" borderId="17" xfId="0" applyNumberFormat="1" applyFont="1" applyBorder="1"/>
    <xf numFmtId="164" fontId="5" fillId="3" borderId="0" xfId="1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7" fillId="0" borderId="18" xfId="0" applyFont="1" applyBorder="1"/>
    <xf numFmtId="0" fontId="7" fillId="0" borderId="19" xfId="0" applyFont="1" applyBorder="1"/>
    <xf numFmtId="0" fontId="7" fillId="0" borderId="20" xfId="0" applyFont="1" applyBorder="1"/>
    <xf numFmtId="164" fontId="7" fillId="0" borderId="21" xfId="0" applyNumberFormat="1" applyFont="1" applyBorder="1"/>
    <xf numFmtId="164" fontId="7" fillId="0" borderId="19" xfId="0" applyNumberFormat="1" applyFont="1" applyBorder="1"/>
    <xf numFmtId="164" fontId="7" fillId="0" borderId="22" xfId="0" applyNumberFormat="1" applyFont="1" applyBorder="1"/>
    <xf numFmtId="0" fontId="6" fillId="0" borderId="18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/>
    </xf>
    <xf numFmtId="0" fontId="6" fillId="0" borderId="20" xfId="0" applyFont="1" applyBorder="1" applyAlignment="1">
      <alignment horizontal="left" vertical="center"/>
    </xf>
    <xf numFmtId="164" fontId="8" fillId="0" borderId="23" xfId="0" applyNumberFormat="1" applyFont="1" applyBorder="1"/>
    <xf numFmtId="0" fontId="6" fillId="2" borderId="0" xfId="0" applyFont="1" applyFill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4" fillId="2" borderId="25" xfId="0" applyFont="1" applyFill="1" applyBorder="1" applyAlignment="1">
      <alignment vertical="center"/>
    </xf>
    <xf numFmtId="0" fontId="6" fillId="2" borderId="26" xfId="0" applyFont="1" applyFill="1" applyBorder="1" applyAlignment="1">
      <alignment horizontal="center" vertical="center"/>
    </xf>
    <xf numFmtId="164" fontId="6" fillId="2" borderId="27" xfId="0" applyNumberFormat="1" applyFont="1" applyFill="1" applyBorder="1" applyAlignment="1">
      <alignment horizontal="center" vertical="center"/>
    </xf>
    <xf numFmtId="0" fontId="6" fillId="2" borderId="27" xfId="0" applyFont="1" applyFill="1" applyBorder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25" xfId="0" applyFont="1" applyFill="1" applyBorder="1" applyAlignment="1">
      <alignment vertical="center"/>
    </xf>
    <xf numFmtId="0" fontId="5" fillId="2" borderId="17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49" fontId="6" fillId="2" borderId="0" xfId="0" applyNumberFormat="1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9" fillId="3" borderId="1" xfId="0" applyFont="1" applyFill="1" applyBorder="1" applyAlignment="1" applyProtection="1">
      <alignment vertical="center" wrapText="1"/>
      <protection locked="0"/>
    </xf>
    <xf numFmtId="0" fontId="9" fillId="3" borderId="2" xfId="0" applyFont="1" applyFill="1" applyBorder="1" applyAlignment="1" applyProtection="1">
      <alignment vertical="center" wrapText="1"/>
      <protection locked="0"/>
    </xf>
    <xf numFmtId="0" fontId="9" fillId="3" borderId="3" xfId="0" applyFont="1" applyFill="1" applyBorder="1" applyAlignment="1" applyProtection="1">
      <alignment vertical="center" wrapText="1"/>
      <protection locked="0"/>
    </xf>
    <xf numFmtId="0" fontId="5" fillId="2" borderId="1" xfId="0" applyFont="1" applyFill="1" applyBorder="1" applyAlignment="1" applyProtection="1">
      <alignment horizontal="left" vertical="center" wrapText="1"/>
      <protection locked="0"/>
    </xf>
    <xf numFmtId="0" fontId="5" fillId="2" borderId="2" xfId="0" applyFont="1" applyFill="1" applyBorder="1" applyAlignment="1" applyProtection="1">
      <alignment horizontal="left" vertical="center" wrapText="1"/>
      <protection locked="0"/>
    </xf>
    <xf numFmtId="0" fontId="5" fillId="2" borderId="3" xfId="0" applyFont="1" applyFill="1" applyBorder="1" applyAlignment="1" applyProtection="1">
      <alignment horizontal="left" vertical="center" wrapText="1"/>
      <protection locked="0"/>
    </xf>
    <xf numFmtId="0" fontId="5" fillId="2" borderId="0" xfId="0" applyFont="1" applyFill="1" applyAlignment="1" applyProtection="1">
      <alignment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9" fillId="3" borderId="2" xfId="0" applyFont="1" applyFill="1" applyBorder="1" applyAlignment="1" applyProtection="1">
      <alignment horizontal="center" vertical="center" wrapText="1"/>
      <protection locked="0"/>
    </xf>
    <xf numFmtId="0" fontId="9" fillId="3" borderId="3" xfId="0" applyFont="1" applyFill="1" applyBorder="1" applyAlignment="1" applyProtection="1">
      <alignment horizontal="center" vertical="center" wrapText="1"/>
      <protection locked="0"/>
    </xf>
    <xf numFmtId="0" fontId="9" fillId="3" borderId="26" xfId="0" applyFont="1" applyFill="1" applyBorder="1" applyAlignment="1" applyProtection="1">
      <alignment vertical="center" wrapText="1"/>
      <protection locked="0"/>
    </xf>
    <xf numFmtId="0" fontId="9" fillId="3" borderId="24" xfId="0" applyFont="1" applyFill="1" applyBorder="1" applyAlignment="1" applyProtection="1">
      <alignment vertical="center" wrapText="1"/>
      <protection locked="0"/>
    </xf>
    <xf numFmtId="0" fontId="9" fillId="3" borderId="28" xfId="0" applyFont="1" applyFill="1" applyBorder="1" applyAlignment="1" applyProtection="1">
      <alignment vertical="center" wrapText="1"/>
      <protection locked="0"/>
    </xf>
    <xf numFmtId="0" fontId="10" fillId="2" borderId="26" xfId="0" applyFont="1" applyFill="1" applyBorder="1" applyAlignment="1" applyProtection="1">
      <alignment horizontal="left" vertical="center" wrapText="1"/>
      <protection locked="0"/>
    </xf>
    <xf numFmtId="0" fontId="10" fillId="2" borderId="24" xfId="0" applyFont="1" applyFill="1" applyBorder="1" applyAlignment="1" applyProtection="1">
      <alignment horizontal="left" vertical="center" wrapText="1"/>
      <protection locked="0"/>
    </xf>
    <xf numFmtId="0" fontId="10" fillId="2" borderId="28" xfId="0" applyFont="1" applyFill="1" applyBorder="1" applyAlignment="1" applyProtection="1">
      <alignment horizontal="left" vertical="center" wrapText="1"/>
      <protection locked="0"/>
    </xf>
    <xf numFmtId="0" fontId="11" fillId="2" borderId="15" xfId="0" applyFont="1" applyFill="1" applyBorder="1" applyAlignment="1" applyProtection="1">
      <alignment horizontal="center" vertical="center" wrapText="1"/>
      <protection locked="0"/>
    </xf>
    <xf numFmtId="0" fontId="11" fillId="2" borderId="13" xfId="0" applyFont="1" applyFill="1" applyBorder="1" applyAlignment="1" applyProtection="1">
      <alignment horizontal="center" vertical="center" wrapText="1"/>
      <protection locked="0"/>
    </xf>
    <xf numFmtId="0" fontId="11" fillId="2" borderId="14" xfId="0" applyFont="1" applyFill="1" applyBorder="1" applyAlignment="1" applyProtection="1">
      <alignment horizontal="center" vertical="center" wrapText="1"/>
      <protection locked="0"/>
    </xf>
    <xf numFmtId="0" fontId="12" fillId="2" borderId="15" xfId="0" applyFont="1" applyFill="1" applyBorder="1" applyAlignment="1" applyProtection="1">
      <alignment horizontal="center" vertical="center" wrapText="1"/>
      <protection locked="0"/>
    </xf>
    <xf numFmtId="0" fontId="12" fillId="2" borderId="13" xfId="0" applyFont="1" applyFill="1" applyBorder="1" applyAlignment="1" applyProtection="1">
      <alignment horizontal="center" vertical="center" wrapText="1"/>
      <protection locked="0"/>
    </xf>
    <xf numFmtId="0" fontId="12" fillId="2" borderId="14" xfId="0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>
      <alignment vertical="center" wrapText="1"/>
    </xf>
    <xf numFmtId="0" fontId="9" fillId="3" borderId="2" xfId="0" applyFont="1" applyFill="1" applyBorder="1" applyAlignment="1">
      <alignment vertical="center" wrapText="1"/>
    </xf>
    <xf numFmtId="0" fontId="9" fillId="3" borderId="3" xfId="0" applyFont="1" applyFill="1" applyBorder="1" applyAlignment="1">
      <alignment vertical="center" wrapText="1"/>
    </xf>
    <xf numFmtId="0" fontId="10" fillId="2" borderId="1" xfId="0" applyFont="1" applyFill="1" applyBorder="1" applyAlignment="1" applyProtection="1">
      <alignment horizontal="left" vertical="center" wrapText="1"/>
      <protection locked="0"/>
    </xf>
    <xf numFmtId="0" fontId="10" fillId="2" borderId="2" xfId="0" applyFont="1" applyFill="1" applyBorder="1" applyAlignment="1" applyProtection="1">
      <alignment horizontal="left" vertical="center" wrapText="1"/>
      <protection locked="0"/>
    </xf>
    <xf numFmtId="0" fontId="10" fillId="2" borderId="3" xfId="0" applyFont="1" applyFill="1" applyBorder="1" applyAlignment="1" applyProtection="1">
      <alignment horizontal="left" vertical="center" wrapText="1"/>
      <protection locked="0"/>
    </xf>
    <xf numFmtId="0" fontId="5" fillId="2" borderId="29" xfId="0" applyFont="1" applyFill="1" applyBorder="1" applyAlignment="1" applyProtection="1">
      <alignment horizontal="left" vertical="center" wrapText="1"/>
      <protection locked="0"/>
    </xf>
    <xf numFmtId="0" fontId="5" fillId="2" borderId="30" xfId="0" applyFont="1" applyFill="1" applyBorder="1" applyAlignment="1" applyProtection="1">
      <alignment horizontal="left" vertical="center" wrapText="1"/>
      <protection locked="0"/>
    </xf>
    <xf numFmtId="0" fontId="5" fillId="2" borderId="31" xfId="0" applyFont="1" applyFill="1" applyBorder="1" applyAlignment="1" applyProtection="1">
      <alignment horizontal="left" vertical="center" wrapText="1"/>
      <protection locked="0"/>
    </xf>
    <xf numFmtId="0" fontId="5" fillId="2" borderId="29" xfId="0" applyFont="1" applyFill="1" applyBorder="1" applyAlignment="1" applyProtection="1">
      <alignment horizontal="right" vertical="center" wrapText="1"/>
      <protection locked="0"/>
    </xf>
    <xf numFmtId="0" fontId="5" fillId="2" borderId="30" xfId="0" applyFont="1" applyFill="1" applyBorder="1" applyAlignment="1" applyProtection="1">
      <alignment horizontal="right" vertical="center" wrapText="1"/>
      <protection locked="0"/>
    </xf>
    <xf numFmtId="0" fontId="5" fillId="2" borderId="31" xfId="0" applyFont="1" applyFill="1" applyBorder="1" applyAlignment="1" applyProtection="1">
      <alignment horizontal="right" vertical="center" wrapText="1"/>
      <protection locked="0"/>
    </xf>
    <xf numFmtId="0" fontId="9" fillId="3" borderId="26" xfId="0" applyFont="1" applyFill="1" applyBorder="1" applyAlignment="1">
      <alignment vertical="center" wrapText="1"/>
    </xf>
    <xf numFmtId="0" fontId="9" fillId="3" borderId="24" xfId="0" applyFont="1" applyFill="1" applyBorder="1" applyAlignment="1">
      <alignment vertical="center" wrapText="1"/>
    </xf>
    <xf numFmtId="0" fontId="9" fillId="3" borderId="28" xfId="0" applyFont="1" applyFill="1" applyBorder="1" applyAlignment="1">
      <alignment vertical="center" wrapText="1"/>
    </xf>
    <xf numFmtId="0" fontId="5" fillId="2" borderId="32" xfId="0" applyFont="1" applyFill="1" applyBorder="1" applyAlignment="1" applyProtection="1">
      <alignment horizontal="left" vertical="center" wrapText="1"/>
      <protection locked="0"/>
    </xf>
    <xf numFmtId="0" fontId="5" fillId="2" borderId="0" xfId="0" applyFont="1" applyFill="1" applyAlignment="1" applyProtection="1">
      <alignment horizontal="left" vertical="center" wrapText="1"/>
      <protection locked="0"/>
    </xf>
    <xf numFmtId="0" fontId="5" fillId="2" borderId="25" xfId="0" applyFont="1" applyFill="1" applyBorder="1" applyAlignment="1" applyProtection="1">
      <alignment horizontal="left" vertical="center" wrapText="1"/>
      <protection locked="0"/>
    </xf>
    <xf numFmtId="0" fontId="5" fillId="2" borderId="32" xfId="0" applyFont="1" applyFill="1" applyBorder="1" applyAlignment="1" applyProtection="1">
      <alignment horizontal="right" vertical="center" wrapText="1"/>
      <protection locked="0"/>
    </xf>
    <xf numFmtId="0" fontId="5" fillId="2" borderId="0" xfId="0" applyFont="1" applyFill="1" applyAlignment="1" applyProtection="1">
      <alignment horizontal="right" vertical="center" wrapText="1"/>
      <protection locked="0"/>
    </xf>
    <xf numFmtId="0" fontId="5" fillId="2" borderId="25" xfId="0" applyFont="1" applyFill="1" applyBorder="1" applyAlignment="1" applyProtection="1">
      <alignment horizontal="right" vertical="center" wrapText="1"/>
      <protection locked="0"/>
    </xf>
    <xf numFmtId="0" fontId="5" fillId="2" borderId="29" xfId="0" applyFont="1" applyFill="1" applyBorder="1" applyAlignment="1" applyProtection="1">
      <alignment horizontal="center" vertical="center" wrapText="1"/>
      <protection locked="0"/>
    </xf>
    <xf numFmtId="0" fontId="5" fillId="2" borderId="30" xfId="0" applyFont="1" applyFill="1" applyBorder="1" applyAlignment="1" applyProtection="1">
      <alignment horizontal="center" vertical="center" wrapText="1"/>
      <protection locked="0"/>
    </xf>
    <xf numFmtId="0" fontId="5" fillId="2" borderId="31" xfId="0" applyFont="1" applyFill="1" applyBorder="1" applyAlignment="1" applyProtection="1">
      <alignment horizontal="center" vertical="center" wrapText="1"/>
      <protection locked="0"/>
    </xf>
    <xf numFmtId="0" fontId="5" fillId="2" borderId="33" xfId="0" applyFont="1" applyFill="1" applyBorder="1" applyAlignment="1" applyProtection="1">
      <alignment horizontal="center" vertical="center" wrapText="1"/>
      <protection locked="0"/>
    </xf>
    <xf numFmtId="0" fontId="5" fillId="2" borderId="34" xfId="0" applyFont="1" applyFill="1" applyBorder="1" applyAlignment="1" applyProtection="1">
      <alignment horizontal="center" vertical="center" wrapText="1"/>
      <protection locked="0"/>
    </xf>
    <xf numFmtId="0" fontId="5" fillId="2" borderId="35" xfId="0" applyFont="1" applyFill="1" applyBorder="1" applyAlignment="1" applyProtection="1">
      <alignment horizontal="center" vertical="center" wrapText="1"/>
      <protection locked="0"/>
    </xf>
    <xf numFmtId="0" fontId="5" fillId="2" borderId="24" xfId="0" applyFont="1" applyFill="1" applyBorder="1" applyAlignment="1" applyProtection="1">
      <alignment vertical="center" wrapText="1"/>
      <protection locked="0"/>
    </xf>
    <xf numFmtId="0" fontId="5" fillId="2" borderId="26" xfId="0" applyFont="1" applyFill="1" applyBorder="1" applyAlignment="1" applyProtection="1">
      <alignment horizontal="left" vertical="center" wrapText="1"/>
      <protection locked="0"/>
    </xf>
    <xf numFmtId="0" fontId="5" fillId="2" borderId="24" xfId="0" applyFont="1" applyFill="1" applyBorder="1" applyAlignment="1" applyProtection="1">
      <alignment horizontal="left" vertical="center" wrapText="1"/>
      <protection locked="0"/>
    </xf>
    <xf numFmtId="0" fontId="5" fillId="2" borderId="28" xfId="0" applyFont="1" applyFill="1" applyBorder="1" applyAlignment="1" applyProtection="1">
      <alignment horizontal="left" vertical="center" wrapText="1"/>
      <protection locked="0"/>
    </xf>
    <xf numFmtId="0" fontId="5" fillId="2" borderId="26" xfId="0" applyFont="1" applyFill="1" applyBorder="1" applyAlignment="1" applyProtection="1">
      <alignment horizontal="right" vertical="center" wrapText="1"/>
      <protection locked="0"/>
    </xf>
    <xf numFmtId="0" fontId="5" fillId="2" borderId="24" xfId="0" applyFont="1" applyFill="1" applyBorder="1" applyAlignment="1" applyProtection="1">
      <alignment horizontal="right" vertical="center" wrapText="1"/>
      <protection locked="0"/>
    </xf>
    <xf numFmtId="0" fontId="5" fillId="2" borderId="28" xfId="0" applyFont="1" applyFill="1" applyBorder="1" applyAlignment="1" applyProtection="1">
      <alignment horizontal="right" vertical="center" wrapText="1"/>
      <protection locked="0"/>
    </xf>
  </cellXfs>
  <cellStyles count="2">
    <cellStyle name="Звичайний" xfId="0" builtinId="0"/>
    <cellStyle name="Фінансови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ming/D&amp;D/3E/Eberron/Characters/Murre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ROBERT~1/LOCALS~1/Temp/Temporary%20Directory%201%20for%20twoodall.zip/EBERRONSHEE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cter (2)"/>
      <sheetName val="Character"/>
      <sheetName val="Class"/>
      <sheetName val="Skills"/>
      <sheetName val="Spells"/>
      <sheetName val="Combat"/>
      <sheetName val="Readme"/>
      <sheetName val="dev notes"/>
      <sheetName val="reference"/>
      <sheetName val="List"/>
      <sheetName val="Magic"/>
      <sheetName val="Mundane"/>
    </sheetNames>
    <sheetDataSet>
      <sheetData sheetId="0" refreshError="1"/>
      <sheetData sheetId="1"/>
      <sheetData sheetId="2">
        <row r="6">
          <cell r="B6" t="str">
            <v>Rogue</v>
          </cell>
          <cell r="BF6">
            <v>1</v>
          </cell>
        </row>
        <row r="7">
          <cell r="B7" t="str">
            <v>Warrior</v>
          </cell>
          <cell r="BF7">
            <v>1</v>
          </cell>
        </row>
        <row r="8">
          <cell r="BF8">
            <v>1</v>
          </cell>
        </row>
        <row r="10">
          <cell r="B10" t="str">
            <v/>
          </cell>
        </row>
        <row r="11">
          <cell r="AA11">
            <v>4.25</v>
          </cell>
          <cell r="AB11" t="str">
            <v>+4</v>
          </cell>
          <cell r="AK11" t="str">
            <v/>
          </cell>
          <cell r="BA11">
            <v>84</v>
          </cell>
          <cell r="BF11">
            <v>0</v>
          </cell>
        </row>
      </sheetData>
      <sheetData sheetId="3">
        <row r="4">
          <cell r="B4" t="str">
            <v>Appraise</v>
          </cell>
          <cell r="M4" t="str">
            <v>yes</v>
          </cell>
          <cell r="O4" t="str">
            <v>Int</v>
          </cell>
          <cell r="Q4">
            <v>1</v>
          </cell>
          <cell r="R4">
            <v>6</v>
          </cell>
          <cell r="U4" t="str">
            <v>=</v>
          </cell>
          <cell r="V4">
            <v>2</v>
          </cell>
          <cell r="X4" t="str">
            <v>+</v>
          </cell>
          <cell r="Y4">
            <v>4</v>
          </cell>
          <cell r="AA4" t="str">
            <v>+</v>
          </cell>
          <cell r="AB4">
            <v>0</v>
          </cell>
          <cell r="AD4" t="str">
            <v>+</v>
          </cell>
          <cell r="AE4">
            <v>0</v>
          </cell>
          <cell r="AG4" t="str">
            <v>+</v>
          </cell>
          <cell r="AH4">
            <v>0</v>
          </cell>
          <cell r="AJ4" t="str">
            <v>+</v>
          </cell>
          <cell r="AK4">
            <v>0</v>
          </cell>
          <cell r="AM4" t="str">
            <v>+</v>
          </cell>
          <cell r="AN4">
            <v>0</v>
          </cell>
          <cell r="AP4" t="str">
            <v>+</v>
          </cell>
          <cell r="AQ4">
            <v>0</v>
          </cell>
          <cell r="AS4" t="str">
            <v>+</v>
          </cell>
          <cell r="AT4">
            <v>0</v>
          </cell>
          <cell r="AV4" t="str">
            <v>+</v>
          </cell>
          <cell r="AY4" t="str">
            <v>+</v>
          </cell>
          <cell r="BF4">
            <v>4</v>
          </cell>
        </row>
        <row r="5">
          <cell r="B5" t="str">
            <v>Autohypnosis</v>
          </cell>
          <cell r="M5" t="str">
            <v>no</v>
          </cell>
          <cell r="O5" t="str">
            <v>Wis</v>
          </cell>
          <cell r="Q5">
            <v>0</v>
          </cell>
          <cell r="R5">
            <v>1</v>
          </cell>
          <cell r="U5" t="str">
            <v>=</v>
          </cell>
          <cell r="V5">
            <v>0</v>
          </cell>
          <cell r="X5" t="str">
            <v>+</v>
          </cell>
          <cell r="Y5">
            <v>1</v>
          </cell>
          <cell r="AA5" t="str">
            <v>+</v>
          </cell>
          <cell r="AB5">
            <v>0</v>
          </cell>
          <cell r="AD5" t="str">
            <v>+</v>
          </cell>
          <cell r="AE5">
            <v>0</v>
          </cell>
          <cell r="AG5" t="str">
            <v>+</v>
          </cell>
          <cell r="AH5">
            <v>0</v>
          </cell>
          <cell r="AJ5" t="str">
            <v>+</v>
          </cell>
          <cell r="AK5">
            <v>0</v>
          </cell>
          <cell r="AM5" t="str">
            <v>+</v>
          </cell>
          <cell r="AN5">
            <v>0</v>
          </cell>
          <cell r="AP5" t="str">
            <v>+</v>
          </cell>
          <cell r="AQ5">
            <v>0</v>
          </cell>
          <cell r="AS5" t="str">
            <v>+</v>
          </cell>
          <cell r="AT5">
            <v>0</v>
          </cell>
          <cell r="AV5" t="str">
            <v>+</v>
          </cell>
          <cell r="AY5" t="str">
            <v>+</v>
          </cell>
          <cell r="BF5">
            <v>1</v>
          </cell>
        </row>
        <row r="6">
          <cell r="B6" t="str">
            <v>Balance</v>
          </cell>
          <cell r="M6" t="str">
            <v>yes</v>
          </cell>
          <cell r="O6" t="str">
            <v>Dex</v>
          </cell>
          <cell r="Q6">
            <v>1</v>
          </cell>
          <cell r="R6">
            <v>3</v>
          </cell>
          <cell r="U6" t="str">
            <v>=</v>
          </cell>
          <cell r="V6">
            <v>0</v>
          </cell>
          <cell r="X6" t="str">
            <v>+</v>
          </cell>
          <cell r="Y6">
            <v>4</v>
          </cell>
          <cell r="AA6" t="str">
            <v>+</v>
          </cell>
          <cell r="AB6">
            <v>0</v>
          </cell>
          <cell r="AD6" t="str">
            <v>+</v>
          </cell>
          <cell r="AE6">
            <v>0</v>
          </cell>
          <cell r="AG6" t="str">
            <v>+</v>
          </cell>
          <cell r="AH6">
            <v>0</v>
          </cell>
          <cell r="AJ6" t="str">
            <v>+</v>
          </cell>
          <cell r="AK6">
            <v>0</v>
          </cell>
          <cell r="AM6" t="str">
            <v>+</v>
          </cell>
          <cell r="AN6">
            <v>0</v>
          </cell>
          <cell r="AP6" t="str">
            <v>+</v>
          </cell>
          <cell r="AQ6">
            <v>0</v>
          </cell>
          <cell r="AS6" t="str">
            <v>+</v>
          </cell>
          <cell r="AT6">
            <v>0</v>
          </cell>
          <cell r="AV6" t="str">
            <v>+</v>
          </cell>
          <cell r="AW6">
            <v>0</v>
          </cell>
          <cell r="AY6" t="str">
            <v>+</v>
          </cell>
          <cell r="BB6" t="str">
            <v>+</v>
          </cell>
          <cell r="BC6">
            <v>-1</v>
          </cell>
          <cell r="BF6">
            <v>3</v>
          </cell>
        </row>
        <row r="7">
          <cell r="B7" t="str">
            <v>Bluff</v>
          </cell>
          <cell r="M7" t="str">
            <v>yes</v>
          </cell>
          <cell r="O7" t="str">
            <v>Cha</v>
          </cell>
          <cell r="Q7">
            <v>1</v>
          </cell>
          <cell r="R7">
            <v>0</v>
          </cell>
          <cell r="U7" t="str">
            <v>=</v>
          </cell>
          <cell r="V7">
            <v>0</v>
          </cell>
          <cell r="X7" t="str">
            <v>+</v>
          </cell>
          <cell r="Y7">
            <v>0</v>
          </cell>
          <cell r="AA7" t="str">
            <v>+</v>
          </cell>
          <cell r="AB7">
            <v>0</v>
          </cell>
          <cell r="AD7" t="str">
            <v>+</v>
          </cell>
          <cell r="AE7">
            <v>0</v>
          </cell>
          <cell r="AG7" t="str">
            <v>+</v>
          </cell>
          <cell r="AH7">
            <v>0</v>
          </cell>
          <cell r="AJ7" t="str">
            <v>+</v>
          </cell>
          <cell r="AK7">
            <v>0</v>
          </cell>
          <cell r="AM7" t="str">
            <v>+</v>
          </cell>
          <cell r="AN7">
            <v>0</v>
          </cell>
          <cell r="AP7" t="str">
            <v>+</v>
          </cell>
          <cell r="AQ7">
            <v>0</v>
          </cell>
          <cell r="AS7" t="str">
            <v>+</v>
          </cell>
          <cell r="AT7">
            <v>0</v>
          </cell>
          <cell r="AV7" t="str">
            <v>+</v>
          </cell>
          <cell r="AY7" t="str">
            <v>+</v>
          </cell>
          <cell r="BF7">
            <v>0</v>
          </cell>
        </row>
        <row r="8">
          <cell r="B8" t="str">
            <v>Climb</v>
          </cell>
          <cell r="M8" t="str">
            <v>yes</v>
          </cell>
          <cell r="O8" t="str">
            <v>Str</v>
          </cell>
          <cell r="Q8">
            <v>1</v>
          </cell>
          <cell r="R8">
            <v>4</v>
          </cell>
          <cell r="U8" t="str">
            <v>=</v>
          </cell>
          <cell r="V8">
            <v>2</v>
          </cell>
          <cell r="X8" t="str">
            <v>+</v>
          </cell>
          <cell r="Y8">
            <v>3</v>
          </cell>
          <cell r="AA8" t="str">
            <v>+</v>
          </cell>
          <cell r="AB8">
            <v>0</v>
          </cell>
          <cell r="AD8" t="str">
            <v>+</v>
          </cell>
          <cell r="AE8">
            <v>0</v>
          </cell>
          <cell r="AG8" t="str">
            <v>+</v>
          </cell>
          <cell r="AH8">
            <v>0</v>
          </cell>
          <cell r="AJ8" t="str">
            <v>+</v>
          </cell>
          <cell r="AK8">
            <v>0</v>
          </cell>
          <cell r="AM8" t="str">
            <v>+</v>
          </cell>
          <cell r="AN8">
            <v>0</v>
          </cell>
          <cell r="AP8" t="str">
            <v>+</v>
          </cell>
          <cell r="AQ8">
            <v>0</v>
          </cell>
          <cell r="AS8" t="str">
            <v>+</v>
          </cell>
          <cell r="AT8">
            <v>0</v>
          </cell>
          <cell r="AV8" t="str">
            <v>+</v>
          </cell>
          <cell r="AY8" t="str">
            <v>+</v>
          </cell>
          <cell r="BB8" t="str">
            <v>+</v>
          </cell>
          <cell r="BC8">
            <v>-1</v>
          </cell>
          <cell r="BF8">
            <v>2</v>
          </cell>
        </row>
        <row r="9">
          <cell r="B9" t="str">
            <v>Concentration</v>
          </cell>
          <cell r="M9" t="str">
            <v>no</v>
          </cell>
          <cell r="O9" t="str">
            <v>Con</v>
          </cell>
          <cell r="Q9">
            <v>1</v>
          </cell>
          <cell r="R9">
            <v>1</v>
          </cell>
          <cell r="U9" t="str">
            <v>=</v>
          </cell>
          <cell r="V9">
            <v>0</v>
          </cell>
          <cell r="X9" t="str">
            <v>+</v>
          </cell>
          <cell r="Y9">
            <v>1</v>
          </cell>
          <cell r="AA9" t="str">
            <v>+</v>
          </cell>
          <cell r="AB9">
            <v>0</v>
          </cell>
          <cell r="AD9" t="str">
            <v>+</v>
          </cell>
          <cell r="AE9">
            <v>0</v>
          </cell>
          <cell r="AG9" t="str">
            <v>+</v>
          </cell>
          <cell r="AH9">
            <v>0</v>
          </cell>
          <cell r="AJ9" t="str">
            <v>+</v>
          </cell>
          <cell r="AK9">
            <v>0</v>
          </cell>
          <cell r="AM9" t="str">
            <v>+</v>
          </cell>
          <cell r="AN9">
            <v>0</v>
          </cell>
          <cell r="AP9" t="str">
            <v>+</v>
          </cell>
          <cell r="AQ9">
            <v>0</v>
          </cell>
          <cell r="AS9" t="str">
            <v>+</v>
          </cell>
          <cell r="AT9">
            <v>0</v>
          </cell>
          <cell r="AV9" t="str">
            <v>+</v>
          </cell>
          <cell r="AY9" t="str">
            <v>+</v>
          </cell>
          <cell r="BF9">
            <v>1</v>
          </cell>
        </row>
        <row r="10">
          <cell r="B10" t="str">
            <v>Craft</v>
          </cell>
          <cell r="G10" t="str">
            <v>Trapmaking</v>
          </cell>
          <cell r="M10" t="str">
            <v>yes</v>
          </cell>
          <cell r="O10" t="str">
            <v>Int</v>
          </cell>
          <cell r="Q10">
            <v>1</v>
          </cell>
          <cell r="R10">
            <v>9</v>
          </cell>
          <cell r="U10" t="str">
            <v>=</v>
          </cell>
          <cell r="V10">
            <v>5</v>
          </cell>
          <cell r="X10" t="str">
            <v>+</v>
          </cell>
          <cell r="Y10">
            <v>4</v>
          </cell>
          <cell r="AA10" t="str">
            <v>+</v>
          </cell>
          <cell r="AB10">
            <v>0</v>
          </cell>
          <cell r="AD10" t="str">
            <v>+</v>
          </cell>
          <cell r="AE10">
            <v>0</v>
          </cell>
          <cell r="AG10" t="str">
            <v>+</v>
          </cell>
          <cell r="AH10">
            <v>0</v>
          </cell>
          <cell r="AJ10" t="str">
            <v>+</v>
          </cell>
          <cell r="AK10">
            <v>0</v>
          </cell>
          <cell r="AM10" t="str">
            <v>+</v>
          </cell>
          <cell r="AN10">
            <v>0</v>
          </cell>
          <cell r="AP10" t="str">
            <v>+</v>
          </cell>
          <cell r="AQ10">
            <v>0</v>
          </cell>
          <cell r="AS10" t="str">
            <v>+</v>
          </cell>
          <cell r="AT10">
            <v>0</v>
          </cell>
          <cell r="AV10" t="str">
            <v>+</v>
          </cell>
          <cell r="AY10" t="str">
            <v>+</v>
          </cell>
          <cell r="BF10">
            <v>4</v>
          </cell>
        </row>
        <row r="11">
          <cell r="B11" t="str">
            <v>Craft (alchemy)</v>
          </cell>
          <cell r="M11" t="str">
            <v>yes</v>
          </cell>
          <cell r="O11" t="str">
            <v>Int</v>
          </cell>
          <cell r="Q11">
            <v>1</v>
          </cell>
          <cell r="R11">
            <v>4</v>
          </cell>
          <cell r="U11" t="str">
            <v>=</v>
          </cell>
          <cell r="V11">
            <v>0</v>
          </cell>
          <cell r="X11" t="str">
            <v>+</v>
          </cell>
          <cell r="Y11">
            <v>4</v>
          </cell>
          <cell r="AA11" t="str">
            <v>+</v>
          </cell>
          <cell r="AB11">
            <v>0</v>
          </cell>
          <cell r="AD11" t="str">
            <v>+</v>
          </cell>
          <cell r="AE11">
            <v>0</v>
          </cell>
          <cell r="AG11" t="str">
            <v>+</v>
          </cell>
          <cell r="AH11">
            <v>0</v>
          </cell>
          <cell r="AJ11" t="str">
            <v>+</v>
          </cell>
          <cell r="AK11">
            <v>0</v>
          </cell>
          <cell r="AM11" t="str">
            <v>+</v>
          </cell>
          <cell r="AN11">
            <v>0</v>
          </cell>
          <cell r="AP11" t="str">
            <v>+</v>
          </cell>
          <cell r="AQ11">
            <v>0</v>
          </cell>
          <cell r="AS11" t="str">
            <v>+</v>
          </cell>
          <cell r="AT11">
            <v>0</v>
          </cell>
          <cell r="AV11" t="str">
            <v>+</v>
          </cell>
          <cell r="AY11" t="str">
            <v>+</v>
          </cell>
          <cell r="BF11">
            <v>4</v>
          </cell>
        </row>
        <row r="12">
          <cell r="B12" t="str">
            <v>Decipher Script</v>
          </cell>
          <cell r="M12" t="str">
            <v>yes</v>
          </cell>
          <cell r="O12" t="str">
            <v>Int</v>
          </cell>
          <cell r="Q12">
            <v>0</v>
          </cell>
          <cell r="R12">
            <v>8</v>
          </cell>
          <cell r="U12" t="str">
            <v>=</v>
          </cell>
          <cell r="V12">
            <v>4</v>
          </cell>
          <cell r="X12" t="str">
            <v>+</v>
          </cell>
          <cell r="Y12">
            <v>4</v>
          </cell>
          <cell r="AA12" t="str">
            <v>+</v>
          </cell>
          <cell r="AB12">
            <v>0</v>
          </cell>
          <cell r="AD12" t="str">
            <v>+</v>
          </cell>
          <cell r="AE12">
            <v>0</v>
          </cell>
          <cell r="AG12" t="str">
            <v>+</v>
          </cell>
          <cell r="AH12">
            <v>0</v>
          </cell>
          <cell r="AJ12" t="str">
            <v>+</v>
          </cell>
          <cell r="AK12">
            <v>0</v>
          </cell>
          <cell r="AM12" t="str">
            <v>+</v>
          </cell>
          <cell r="AN12">
            <v>0</v>
          </cell>
          <cell r="AP12" t="str">
            <v>+</v>
          </cell>
          <cell r="AQ12">
            <v>0</v>
          </cell>
          <cell r="AS12" t="str">
            <v>+</v>
          </cell>
          <cell r="AT12">
            <v>0</v>
          </cell>
          <cell r="AV12" t="str">
            <v>+</v>
          </cell>
          <cell r="AY12" t="str">
            <v>+</v>
          </cell>
          <cell r="BF12">
            <v>4</v>
          </cell>
        </row>
        <row r="13">
          <cell r="B13" t="str">
            <v>Diplomacy</v>
          </cell>
          <cell r="M13" t="str">
            <v>yes</v>
          </cell>
          <cell r="O13" t="str">
            <v>Cha</v>
          </cell>
          <cell r="Q13">
            <v>1</v>
          </cell>
          <cell r="R13">
            <v>0</v>
          </cell>
          <cell r="U13" t="str">
            <v>=</v>
          </cell>
          <cell r="V13">
            <v>0</v>
          </cell>
          <cell r="X13" t="str">
            <v>+</v>
          </cell>
          <cell r="Y13">
            <v>0</v>
          </cell>
          <cell r="AA13" t="str">
            <v>+</v>
          </cell>
          <cell r="AB13">
            <v>0</v>
          </cell>
          <cell r="AD13" t="str">
            <v>+</v>
          </cell>
          <cell r="AE13">
            <v>0</v>
          </cell>
          <cell r="AG13" t="str">
            <v>+</v>
          </cell>
          <cell r="AH13">
            <v>0</v>
          </cell>
          <cell r="AJ13" t="str">
            <v>+</v>
          </cell>
          <cell r="AK13">
            <v>0</v>
          </cell>
          <cell r="AM13" t="str">
            <v>+</v>
          </cell>
          <cell r="AN13">
            <v>0</v>
          </cell>
          <cell r="AP13" t="str">
            <v>+</v>
          </cell>
          <cell r="AQ13">
            <v>0</v>
          </cell>
          <cell r="AS13" t="str">
            <v>+</v>
          </cell>
          <cell r="AT13">
            <v>0</v>
          </cell>
          <cell r="AV13" t="str">
            <v>+</v>
          </cell>
          <cell r="AW13">
            <v>0</v>
          </cell>
          <cell r="AY13" t="str">
            <v>+</v>
          </cell>
          <cell r="BF13">
            <v>0</v>
          </cell>
        </row>
        <row r="14">
          <cell r="B14" t="str">
            <v>Disable Device</v>
          </cell>
          <cell r="M14" t="str">
            <v>yes</v>
          </cell>
          <cell r="O14" t="str">
            <v>Int</v>
          </cell>
          <cell r="Q14">
            <v>0</v>
          </cell>
          <cell r="R14">
            <v>9</v>
          </cell>
          <cell r="U14" t="str">
            <v>=</v>
          </cell>
          <cell r="V14">
            <v>3</v>
          </cell>
          <cell r="X14" t="str">
            <v>+</v>
          </cell>
          <cell r="Y14">
            <v>4</v>
          </cell>
          <cell r="AA14" t="str">
            <v>+</v>
          </cell>
          <cell r="AB14">
            <v>0</v>
          </cell>
          <cell r="AD14" t="str">
            <v>+</v>
          </cell>
          <cell r="AE14">
            <v>0</v>
          </cell>
          <cell r="AG14" t="str">
            <v>+</v>
          </cell>
          <cell r="AH14">
            <v>0</v>
          </cell>
          <cell r="AJ14" t="str">
            <v>+</v>
          </cell>
          <cell r="AK14">
            <v>0</v>
          </cell>
          <cell r="AM14" t="str">
            <v>+</v>
          </cell>
          <cell r="AN14">
            <v>0</v>
          </cell>
          <cell r="AP14" t="str">
            <v>+</v>
          </cell>
          <cell r="AQ14">
            <v>0</v>
          </cell>
          <cell r="AS14" t="str">
            <v>+</v>
          </cell>
          <cell r="AT14">
            <v>0</v>
          </cell>
          <cell r="AV14" t="str">
            <v>+</v>
          </cell>
          <cell r="AW14">
            <v>2</v>
          </cell>
          <cell r="AY14" t="str">
            <v>+</v>
          </cell>
          <cell r="BF14">
            <v>6</v>
          </cell>
        </row>
        <row r="15">
          <cell r="B15" t="str">
            <v>Disguise</v>
          </cell>
          <cell r="M15" t="str">
            <v>yes</v>
          </cell>
          <cell r="O15" t="str">
            <v>Cha</v>
          </cell>
          <cell r="Q15">
            <v>1</v>
          </cell>
          <cell r="R15">
            <v>0</v>
          </cell>
          <cell r="U15" t="str">
            <v>=</v>
          </cell>
          <cell r="V15">
            <v>0</v>
          </cell>
          <cell r="X15" t="str">
            <v>+</v>
          </cell>
          <cell r="Y15">
            <v>0</v>
          </cell>
          <cell r="AA15" t="str">
            <v>+</v>
          </cell>
          <cell r="AB15">
            <v>0</v>
          </cell>
          <cell r="AD15" t="str">
            <v>+</v>
          </cell>
          <cell r="AE15">
            <v>0</v>
          </cell>
          <cell r="AG15" t="str">
            <v>+</v>
          </cell>
          <cell r="AH15">
            <v>0</v>
          </cell>
          <cell r="AJ15" t="str">
            <v>+</v>
          </cell>
          <cell r="AK15">
            <v>0</v>
          </cell>
          <cell r="AM15" t="str">
            <v>+</v>
          </cell>
          <cell r="AN15">
            <v>0</v>
          </cell>
          <cell r="AP15" t="str">
            <v>+</v>
          </cell>
          <cell r="AQ15">
            <v>0</v>
          </cell>
          <cell r="AS15" t="str">
            <v>+</v>
          </cell>
          <cell r="AT15">
            <v>0</v>
          </cell>
          <cell r="AV15" t="str">
            <v>+</v>
          </cell>
          <cell r="AY15" t="str">
            <v>+</v>
          </cell>
          <cell r="BF15">
            <v>0</v>
          </cell>
        </row>
        <row r="16">
          <cell r="B16" t="str">
            <v>Escape Artist</v>
          </cell>
          <cell r="M16" t="str">
            <v>yes</v>
          </cell>
          <cell r="O16" t="str">
            <v>Dex</v>
          </cell>
          <cell r="Q16">
            <v>1</v>
          </cell>
          <cell r="R16">
            <v>3</v>
          </cell>
          <cell r="U16" t="str">
            <v>=</v>
          </cell>
          <cell r="V16">
            <v>0</v>
          </cell>
          <cell r="X16" t="str">
            <v>+</v>
          </cell>
          <cell r="Y16">
            <v>4</v>
          </cell>
          <cell r="AA16" t="str">
            <v>+</v>
          </cell>
          <cell r="AB16">
            <v>0</v>
          </cell>
          <cell r="AD16" t="str">
            <v>+</v>
          </cell>
          <cell r="AE16">
            <v>0</v>
          </cell>
          <cell r="AG16" t="str">
            <v>+</v>
          </cell>
          <cell r="AH16">
            <v>0</v>
          </cell>
          <cell r="AJ16" t="str">
            <v>+</v>
          </cell>
          <cell r="AK16">
            <v>0</v>
          </cell>
          <cell r="AM16" t="str">
            <v>+</v>
          </cell>
          <cell r="AN16">
            <v>0</v>
          </cell>
          <cell r="AP16" t="str">
            <v>+</v>
          </cell>
          <cell r="AQ16">
            <v>0</v>
          </cell>
          <cell r="AS16" t="str">
            <v>+</v>
          </cell>
          <cell r="AT16">
            <v>0</v>
          </cell>
          <cell r="AV16" t="str">
            <v>+</v>
          </cell>
          <cell r="AY16" t="str">
            <v>+</v>
          </cell>
          <cell r="BB16" t="str">
            <v>+</v>
          </cell>
          <cell r="BC16">
            <v>-1</v>
          </cell>
          <cell r="BF16">
            <v>3</v>
          </cell>
        </row>
        <row r="17">
          <cell r="B17" t="str">
            <v>Forgery</v>
          </cell>
          <cell r="M17" t="str">
            <v>yes</v>
          </cell>
          <cell r="O17" t="str">
            <v>Int</v>
          </cell>
          <cell r="Q17">
            <v>1</v>
          </cell>
          <cell r="R17">
            <v>4</v>
          </cell>
          <cell r="U17" t="str">
            <v>=</v>
          </cell>
          <cell r="V17">
            <v>0</v>
          </cell>
          <cell r="X17" t="str">
            <v>+</v>
          </cell>
          <cell r="Y17">
            <v>4</v>
          </cell>
          <cell r="AA17" t="str">
            <v>+</v>
          </cell>
          <cell r="AB17">
            <v>0</v>
          </cell>
          <cell r="AD17" t="str">
            <v>+</v>
          </cell>
          <cell r="AE17">
            <v>0</v>
          </cell>
          <cell r="AG17" t="str">
            <v>+</v>
          </cell>
          <cell r="AH17">
            <v>0</v>
          </cell>
          <cell r="AJ17" t="str">
            <v>+</v>
          </cell>
          <cell r="AK17">
            <v>0</v>
          </cell>
          <cell r="AM17" t="str">
            <v>+</v>
          </cell>
          <cell r="AN17">
            <v>0</v>
          </cell>
          <cell r="AP17" t="str">
            <v>+</v>
          </cell>
          <cell r="AQ17">
            <v>0</v>
          </cell>
          <cell r="AS17" t="str">
            <v>+</v>
          </cell>
          <cell r="AT17">
            <v>0</v>
          </cell>
          <cell r="AV17" t="str">
            <v>+</v>
          </cell>
          <cell r="AY17" t="str">
            <v>+</v>
          </cell>
          <cell r="BF17">
            <v>4</v>
          </cell>
        </row>
        <row r="18">
          <cell r="B18" t="str">
            <v>Gather Information</v>
          </cell>
          <cell r="M18" t="str">
            <v>yes</v>
          </cell>
          <cell r="O18" t="str">
            <v>Cha</v>
          </cell>
          <cell r="Q18">
            <v>1</v>
          </cell>
          <cell r="R18">
            <v>3</v>
          </cell>
          <cell r="U18" t="str">
            <v>=</v>
          </cell>
          <cell r="V18">
            <v>3</v>
          </cell>
          <cell r="X18" t="str">
            <v>+</v>
          </cell>
          <cell r="Y18">
            <v>0</v>
          </cell>
          <cell r="AA18" t="str">
            <v>+</v>
          </cell>
          <cell r="AB18">
            <v>0</v>
          </cell>
          <cell r="AD18" t="str">
            <v>+</v>
          </cell>
          <cell r="AE18">
            <v>0</v>
          </cell>
          <cell r="AG18" t="str">
            <v>+</v>
          </cell>
          <cell r="AH18">
            <v>0</v>
          </cell>
          <cell r="AJ18" t="str">
            <v>+</v>
          </cell>
          <cell r="AK18">
            <v>0</v>
          </cell>
          <cell r="AM18" t="str">
            <v>+</v>
          </cell>
          <cell r="AN18">
            <v>0</v>
          </cell>
          <cell r="AP18" t="str">
            <v>+</v>
          </cell>
          <cell r="AQ18">
            <v>0</v>
          </cell>
          <cell r="AS18" t="str">
            <v>+</v>
          </cell>
          <cell r="AT18">
            <v>0</v>
          </cell>
          <cell r="AV18" t="str">
            <v>+</v>
          </cell>
          <cell r="AW18">
            <v>0</v>
          </cell>
          <cell r="AY18" t="str">
            <v>+</v>
          </cell>
          <cell r="BF18">
            <v>0</v>
          </cell>
        </row>
        <row r="19">
          <cell r="B19" t="str">
            <v>Handle Animal</v>
          </cell>
          <cell r="M19" t="str">
            <v>no</v>
          </cell>
          <cell r="O19" t="str">
            <v>Cha</v>
          </cell>
          <cell r="Q19">
            <v>0</v>
          </cell>
          <cell r="R19">
            <v>0</v>
          </cell>
          <cell r="U19" t="str">
            <v>=</v>
          </cell>
          <cell r="V19">
            <v>0</v>
          </cell>
          <cell r="X19" t="str">
            <v>+</v>
          </cell>
          <cell r="Y19">
            <v>0</v>
          </cell>
          <cell r="AA19" t="str">
            <v>+</v>
          </cell>
          <cell r="AB19">
            <v>0</v>
          </cell>
          <cell r="AD19" t="str">
            <v>+</v>
          </cell>
          <cell r="AE19">
            <v>0</v>
          </cell>
          <cell r="AG19" t="str">
            <v>+</v>
          </cell>
          <cell r="AH19">
            <v>0</v>
          </cell>
          <cell r="AJ19" t="str">
            <v>+</v>
          </cell>
          <cell r="AK19">
            <v>0</v>
          </cell>
          <cell r="AM19" t="str">
            <v>+</v>
          </cell>
          <cell r="AN19">
            <v>0</v>
          </cell>
          <cell r="AP19" t="str">
            <v>+</v>
          </cell>
          <cell r="AQ19">
            <v>0</v>
          </cell>
          <cell r="AS19" t="str">
            <v>+</v>
          </cell>
          <cell r="AT19">
            <v>0</v>
          </cell>
          <cell r="AV19" t="str">
            <v>+</v>
          </cell>
          <cell r="AY19" t="str">
            <v>+</v>
          </cell>
          <cell r="BF19">
            <v>0</v>
          </cell>
        </row>
        <row r="20">
          <cell r="B20" t="str">
            <v>Heal</v>
          </cell>
          <cell r="M20" t="str">
            <v>no</v>
          </cell>
          <cell r="O20" t="str">
            <v>Wis</v>
          </cell>
          <cell r="Q20">
            <v>1</v>
          </cell>
          <cell r="R20">
            <v>1</v>
          </cell>
          <cell r="U20" t="str">
            <v>=</v>
          </cell>
          <cell r="V20">
            <v>0</v>
          </cell>
          <cell r="X20" t="str">
            <v>+</v>
          </cell>
          <cell r="Y20">
            <v>1</v>
          </cell>
          <cell r="AA20" t="str">
            <v>+</v>
          </cell>
          <cell r="AB20">
            <v>0</v>
          </cell>
          <cell r="AD20" t="str">
            <v>+</v>
          </cell>
          <cell r="AE20">
            <v>0</v>
          </cell>
          <cell r="AG20" t="str">
            <v>+</v>
          </cell>
          <cell r="AH20">
            <v>0</v>
          </cell>
          <cell r="AJ20" t="str">
            <v>+</v>
          </cell>
          <cell r="AK20">
            <v>0</v>
          </cell>
          <cell r="AM20" t="str">
            <v>+</v>
          </cell>
          <cell r="AN20">
            <v>0</v>
          </cell>
          <cell r="AP20" t="str">
            <v>+</v>
          </cell>
          <cell r="AQ20">
            <v>0</v>
          </cell>
          <cell r="AS20" t="str">
            <v>+</v>
          </cell>
          <cell r="AT20">
            <v>0</v>
          </cell>
          <cell r="AV20" t="str">
            <v>+</v>
          </cell>
          <cell r="AY20" t="str">
            <v>+</v>
          </cell>
          <cell r="BF20">
            <v>1</v>
          </cell>
        </row>
        <row r="21">
          <cell r="B21" t="str">
            <v>Hide</v>
          </cell>
          <cell r="M21" t="str">
            <v>yes</v>
          </cell>
          <cell r="O21" t="str">
            <v>Dex</v>
          </cell>
          <cell r="Q21">
            <v>1</v>
          </cell>
          <cell r="R21">
            <v>5</v>
          </cell>
          <cell r="U21" t="str">
            <v>=</v>
          </cell>
          <cell r="V21">
            <v>2</v>
          </cell>
          <cell r="X21" t="str">
            <v>+</v>
          </cell>
          <cell r="Y21">
            <v>4</v>
          </cell>
          <cell r="AA21" t="str">
            <v>+</v>
          </cell>
          <cell r="AB21">
            <v>0</v>
          </cell>
          <cell r="AD21" t="str">
            <v>+</v>
          </cell>
          <cell r="AE21">
            <v>0</v>
          </cell>
          <cell r="AG21" t="str">
            <v>+</v>
          </cell>
          <cell r="AH21">
            <v>0</v>
          </cell>
          <cell r="AJ21" t="str">
            <v>+</v>
          </cell>
          <cell r="AK21">
            <v>0</v>
          </cell>
          <cell r="AM21" t="str">
            <v>+</v>
          </cell>
          <cell r="AN21">
            <v>0</v>
          </cell>
          <cell r="AP21" t="str">
            <v>+</v>
          </cell>
          <cell r="AQ21">
            <v>0</v>
          </cell>
          <cell r="AS21" t="str">
            <v>+</v>
          </cell>
          <cell r="AT21">
            <v>0</v>
          </cell>
          <cell r="AV21" t="str">
            <v>+</v>
          </cell>
          <cell r="AY21" t="str">
            <v>+</v>
          </cell>
          <cell r="BB21" t="str">
            <v>+</v>
          </cell>
          <cell r="BC21">
            <v>-1</v>
          </cell>
          <cell r="BF21">
            <v>3</v>
          </cell>
        </row>
        <row r="22">
          <cell r="B22" t="str">
            <v>Intimidate</v>
          </cell>
          <cell r="M22" t="str">
            <v>yes</v>
          </cell>
          <cell r="O22" t="str">
            <v>Cha</v>
          </cell>
          <cell r="Q22">
            <v>1</v>
          </cell>
          <cell r="R22">
            <v>0</v>
          </cell>
          <cell r="U22" t="str">
            <v>=</v>
          </cell>
          <cell r="V22">
            <v>0</v>
          </cell>
          <cell r="X22" t="str">
            <v>+</v>
          </cell>
          <cell r="Y22">
            <v>0</v>
          </cell>
          <cell r="AA22" t="str">
            <v>+</v>
          </cell>
          <cell r="AB22">
            <v>0</v>
          </cell>
          <cell r="AD22" t="str">
            <v>+</v>
          </cell>
          <cell r="AE22">
            <v>0</v>
          </cell>
          <cell r="AG22" t="str">
            <v>+</v>
          </cell>
          <cell r="AH22">
            <v>0</v>
          </cell>
          <cell r="AJ22" t="str">
            <v>+</v>
          </cell>
          <cell r="AK22">
            <v>0</v>
          </cell>
          <cell r="AM22" t="str">
            <v>+</v>
          </cell>
          <cell r="AN22">
            <v>0</v>
          </cell>
          <cell r="AP22" t="str">
            <v>+</v>
          </cell>
          <cell r="AQ22">
            <v>0</v>
          </cell>
          <cell r="AS22" t="str">
            <v>+</v>
          </cell>
          <cell r="AT22">
            <v>0</v>
          </cell>
          <cell r="AV22" t="str">
            <v>+</v>
          </cell>
          <cell r="AW22">
            <v>0</v>
          </cell>
          <cell r="AY22" t="str">
            <v>+</v>
          </cell>
          <cell r="BF22">
            <v>0</v>
          </cell>
        </row>
        <row r="23">
          <cell r="B23" t="str">
            <v>Jump</v>
          </cell>
          <cell r="M23" t="str">
            <v>yes</v>
          </cell>
          <cell r="O23" t="str">
            <v>Str</v>
          </cell>
          <cell r="Q23">
            <v>1</v>
          </cell>
          <cell r="R23">
            <v>2</v>
          </cell>
          <cell r="U23" t="str">
            <v>=</v>
          </cell>
          <cell r="V23">
            <v>0</v>
          </cell>
          <cell r="X23" t="str">
            <v>+</v>
          </cell>
          <cell r="Y23">
            <v>3</v>
          </cell>
          <cell r="AA23" t="str">
            <v>+</v>
          </cell>
          <cell r="AB23">
            <v>0</v>
          </cell>
          <cell r="AD23" t="str">
            <v>+</v>
          </cell>
          <cell r="AE23">
            <v>0</v>
          </cell>
          <cell r="AG23" t="str">
            <v>+</v>
          </cell>
          <cell r="AH23">
            <v>0</v>
          </cell>
          <cell r="AJ23" t="str">
            <v>+</v>
          </cell>
          <cell r="AK23">
            <v>0</v>
          </cell>
          <cell r="AM23" t="str">
            <v>+</v>
          </cell>
          <cell r="AN23">
            <v>0</v>
          </cell>
          <cell r="AP23" t="str">
            <v>+</v>
          </cell>
          <cell r="AQ23">
            <v>0</v>
          </cell>
          <cell r="AS23" t="str">
            <v>+</v>
          </cell>
          <cell r="AT23">
            <v>0</v>
          </cell>
          <cell r="AV23" t="str">
            <v>+</v>
          </cell>
          <cell r="AW23">
            <v>0</v>
          </cell>
          <cell r="AY23" t="str">
            <v>+</v>
          </cell>
          <cell r="BB23" t="str">
            <v>+</v>
          </cell>
          <cell r="BC23">
            <v>-1</v>
          </cell>
          <cell r="BF23">
            <v>2</v>
          </cell>
        </row>
        <row r="24">
          <cell r="B24" t="str">
            <v>Knowledge (arcana)</v>
          </cell>
          <cell r="M24" t="str">
            <v>yes</v>
          </cell>
          <cell r="O24" t="str">
            <v>Int</v>
          </cell>
          <cell r="Q24">
            <v>0</v>
          </cell>
          <cell r="R24">
            <v>5</v>
          </cell>
          <cell r="U24" t="str">
            <v>=</v>
          </cell>
          <cell r="V24">
            <v>1</v>
          </cell>
          <cell r="X24" t="str">
            <v>+</v>
          </cell>
          <cell r="Y24">
            <v>4</v>
          </cell>
          <cell r="AA24" t="str">
            <v>+</v>
          </cell>
          <cell r="AB24">
            <v>0</v>
          </cell>
          <cell r="AD24" t="str">
            <v>+</v>
          </cell>
          <cell r="AE24">
            <v>0</v>
          </cell>
          <cell r="AG24" t="str">
            <v>+</v>
          </cell>
          <cell r="AH24">
            <v>0</v>
          </cell>
          <cell r="AJ24" t="str">
            <v>+</v>
          </cell>
          <cell r="AK24">
            <v>0</v>
          </cell>
          <cell r="AM24" t="str">
            <v>+</v>
          </cell>
          <cell r="AN24">
            <v>0</v>
          </cell>
          <cell r="AP24" t="str">
            <v>+</v>
          </cell>
          <cell r="AQ24">
            <v>0</v>
          </cell>
          <cell r="AS24" t="str">
            <v>+</v>
          </cell>
          <cell r="AT24">
            <v>0</v>
          </cell>
          <cell r="AV24" t="str">
            <v>+</v>
          </cell>
          <cell r="AY24" t="str">
            <v>+</v>
          </cell>
          <cell r="BF24">
            <v>4</v>
          </cell>
        </row>
        <row r="25">
          <cell r="B25" t="str">
            <v>Knowledge (architecture)</v>
          </cell>
          <cell r="M25" t="str">
            <v>yes</v>
          </cell>
          <cell r="O25" t="str">
            <v>Int</v>
          </cell>
          <cell r="Q25">
            <v>0</v>
          </cell>
          <cell r="R25">
            <v>5</v>
          </cell>
          <cell r="U25" t="str">
            <v>=</v>
          </cell>
          <cell r="V25">
            <v>1</v>
          </cell>
          <cell r="X25" t="str">
            <v>+</v>
          </cell>
          <cell r="Y25">
            <v>4</v>
          </cell>
          <cell r="AA25" t="str">
            <v>+</v>
          </cell>
          <cell r="AB25">
            <v>0</v>
          </cell>
          <cell r="AD25" t="str">
            <v>+</v>
          </cell>
          <cell r="AE25">
            <v>0</v>
          </cell>
          <cell r="AG25" t="str">
            <v>+</v>
          </cell>
          <cell r="AH25">
            <v>0</v>
          </cell>
          <cell r="AJ25" t="str">
            <v>+</v>
          </cell>
          <cell r="AK25">
            <v>0</v>
          </cell>
          <cell r="AM25" t="str">
            <v>+</v>
          </cell>
          <cell r="AN25">
            <v>0</v>
          </cell>
          <cell r="AP25" t="str">
            <v>+</v>
          </cell>
          <cell r="AQ25">
            <v>0</v>
          </cell>
          <cell r="AS25" t="str">
            <v>+</v>
          </cell>
          <cell r="AT25">
            <v>0</v>
          </cell>
          <cell r="AV25" t="str">
            <v>+</v>
          </cell>
          <cell r="AY25" t="str">
            <v>+</v>
          </cell>
          <cell r="BF25">
            <v>4</v>
          </cell>
        </row>
        <row r="26">
          <cell r="B26" t="str">
            <v>Knowledge (dungeoneer)</v>
          </cell>
          <cell r="M26" t="str">
            <v>yes</v>
          </cell>
          <cell r="O26" t="str">
            <v>Int</v>
          </cell>
          <cell r="Q26">
            <v>0</v>
          </cell>
          <cell r="R26">
            <v>8</v>
          </cell>
          <cell r="U26" t="str">
            <v>=</v>
          </cell>
          <cell r="V26">
            <v>4</v>
          </cell>
          <cell r="X26" t="str">
            <v>+</v>
          </cell>
          <cell r="Y26">
            <v>4</v>
          </cell>
          <cell r="AA26" t="str">
            <v>+</v>
          </cell>
          <cell r="AB26">
            <v>0</v>
          </cell>
          <cell r="AD26" t="str">
            <v>+</v>
          </cell>
          <cell r="AE26">
            <v>0</v>
          </cell>
          <cell r="AG26" t="str">
            <v>+</v>
          </cell>
          <cell r="AH26">
            <v>0</v>
          </cell>
          <cell r="AJ26" t="str">
            <v>+</v>
          </cell>
          <cell r="AK26">
            <v>0</v>
          </cell>
          <cell r="AM26" t="str">
            <v>+</v>
          </cell>
          <cell r="AN26">
            <v>0</v>
          </cell>
          <cell r="AP26" t="str">
            <v>+</v>
          </cell>
          <cell r="AQ26">
            <v>0</v>
          </cell>
          <cell r="AS26" t="str">
            <v>+</v>
          </cell>
          <cell r="AT26">
            <v>0</v>
          </cell>
          <cell r="AV26" t="str">
            <v>+</v>
          </cell>
          <cell r="AY26" t="str">
            <v>+</v>
          </cell>
          <cell r="BF26">
            <v>4</v>
          </cell>
        </row>
        <row r="27">
          <cell r="B27" t="str">
            <v>Knowledge (geography)</v>
          </cell>
          <cell r="M27" t="str">
            <v>yes</v>
          </cell>
          <cell r="O27" t="str">
            <v>Int</v>
          </cell>
          <cell r="R27">
            <v>5</v>
          </cell>
          <cell r="U27" t="str">
            <v>=</v>
          </cell>
          <cell r="V27">
            <v>1</v>
          </cell>
          <cell r="X27" t="str">
            <v>+</v>
          </cell>
          <cell r="Y27">
            <v>4</v>
          </cell>
          <cell r="AA27" t="str">
            <v>+</v>
          </cell>
          <cell r="AB27">
            <v>0</v>
          </cell>
          <cell r="AD27" t="str">
            <v>+</v>
          </cell>
          <cell r="AE27">
            <v>0</v>
          </cell>
          <cell r="AG27" t="str">
            <v>+</v>
          </cell>
          <cell r="AH27">
            <v>0</v>
          </cell>
          <cell r="AJ27" t="str">
            <v>+</v>
          </cell>
          <cell r="AK27">
            <v>0</v>
          </cell>
          <cell r="AM27" t="str">
            <v>+</v>
          </cell>
          <cell r="AN27">
            <v>0</v>
          </cell>
          <cell r="AP27" t="str">
            <v>+</v>
          </cell>
          <cell r="AQ27">
            <v>0</v>
          </cell>
          <cell r="AS27" t="str">
            <v>+</v>
          </cell>
          <cell r="AT27">
            <v>0</v>
          </cell>
          <cell r="AV27" t="str">
            <v>+</v>
          </cell>
          <cell r="AY27" t="str">
            <v>+</v>
          </cell>
          <cell r="BF27">
            <v>4</v>
          </cell>
        </row>
        <row r="28">
          <cell r="B28" t="str">
            <v>Knowledge (history)</v>
          </cell>
          <cell r="M28" t="str">
            <v>yes</v>
          </cell>
          <cell r="O28" t="str">
            <v>Int</v>
          </cell>
          <cell r="R28">
            <v>8</v>
          </cell>
          <cell r="U28" t="str">
            <v>=</v>
          </cell>
          <cell r="V28">
            <v>4</v>
          </cell>
          <cell r="X28" t="str">
            <v>+</v>
          </cell>
          <cell r="Y28">
            <v>4</v>
          </cell>
          <cell r="AA28" t="str">
            <v>+</v>
          </cell>
          <cell r="AB28">
            <v>0</v>
          </cell>
          <cell r="AD28" t="str">
            <v>+</v>
          </cell>
          <cell r="AE28">
            <v>0</v>
          </cell>
          <cell r="AG28" t="str">
            <v>+</v>
          </cell>
          <cell r="AH28">
            <v>0</v>
          </cell>
          <cell r="AJ28" t="str">
            <v>+</v>
          </cell>
          <cell r="AK28">
            <v>0</v>
          </cell>
          <cell r="AM28" t="str">
            <v>+</v>
          </cell>
          <cell r="AN28">
            <v>0</v>
          </cell>
          <cell r="AP28" t="str">
            <v>+</v>
          </cell>
          <cell r="AQ28">
            <v>0</v>
          </cell>
          <cell r="AS28" t="str">
            <v>+</v>
          </cell>
          <cell r="AT28">
            <v>0</v>
          </cell>
          <cell r="AV28" t="str">
            <v>+</v>
          </cell>
          <cell r="AY28" t="str">
            <v>+</v>
          </cell>
          <cell r="BF28">
            <v>4</v>
          </cell>
        </row>
        <row r="29">
          <cell r="B29" t="str">
            <v>Knowledge (local)</v>
          </cell>
          <cell r="M29" t="str">
            <v>yes</v>
          </cell>
          <cell r="O29" t="str">
            <v>Int</v>
          </cell>
          <cell r="R29">
            <v>8</v>
          </cell>
          <cell r="U29" t="str">
            <v>=</v>
          </cell>
          <cell r="V29">
            <v>4</v>
          </cell>
          <cell r="X29" t="str">
            <v>+</v>
          </cell>
          <cell r="Y29">
            <v>4</v>
          </cell>
          <cell r="AA29" t="str">
            <v>+</v>
          </cell>
          <cell r="AB29">
            <v>0</v>
          </cell>
          <cell r="AD29" t="str">
            <v>+</v>
          </cell>
          <cell r="AE29">
            <v>0</v>
          </cell>
          <cell r="AG29" t="str">
            <v>+</v>
          </cell>
          <cell r="AH29">
            <v>0</v>
          </cell>
          <cell r="AJ29" t="str">
            <v>+</v>
          </cell>
          <cell r="AK29">
            <v>0</v>
          </cell>
          <cell r="AM29" t="str">
            <v>+</v>
          </cell>
          <cell r="AN29">
            <v>0</v>
          </cell>
          <cell r="AP29" t="str">
            <v>+</v>
          </cell>
          <cell r="AQ29">
            <v>0</v>
          </cell>
          <cell r="AS29" t="str">
            <v>+</v>
          </cell>
          <cell r="AT29">
            <v>0</v>
          </cell>
          <cell r="AV29" t="str">
            <v>+</v>
          </cell>
          <cell r="AY29" t="str">
            <v>+</v>
          </cell>
          <cell r="BF29">
            <v>4</v>
          </cell>
        </row>
        <row r="30">
          <cell r="B30" t="str">
            <v>Knowledge (nature)</v>
          </cell>
          <cell r="M30" t="str">
            <v>yes</v>
          </cell>
          <cell r="O30" t="str">
            <v>Int</v>
          </cell>
          <cell r="R30">
            <v>5</v>
          </cell>
          <cell r="U30" t="str">
            <v>=</v>
          </cell>
          <cell r="V30">
            <v>1</v>
          </cell>
          <cell r="X30" t="str">
            <v>+</v>
          </cell>
          <cell r="Y30">
            <v>4</v>
          </cell>
          <cell r="AA30" t="str">
            <v>+</v>
          </cell>
          <cell r="AB30">
            <v>0</v>
          </cell>
          <cell r="AD30" t="str">
            <v>+</v>
          </cell>
          <cell r="AE30">
            <v>0</v>
          </cell>
          <cell r="AG30" t="str">
            <v>+</v>
          </cell>
          <cell r="AH30">
            <v>0</v>
          </cell>
          <cell r="AJ30" t="str">
            <v>+</v>
          </cell>
          <cell r="AK30">
            <v>0</v>
          </cell>
          <cell r="AM30" t="str">
            <v>+</v>
          </cell>
          <cell r="AN30">
            <v>0</v>
          </cell>
          <cell r="AP30" t="str">
            <v>+</v>
          </cell>
          <cell r="AQ30">
            <v>0</v>
          </cell>
          <cell r="AS30" t="str">
            <v>+</v>
          </cell>
          <cell r="AT30">
            <v>0</v>
          </cell>
          <cell r="AV30" t="str">
            <v>+</v>
          </cell>
          <cell r="AW30">
            <v>0</v>
          </cell>
          <cell r="AY30" t="str">
            <v>+</v>
          </cell>
          <cell r="BF30">
            <v>4</v>
          </cell>
        </row>
        <row r="31">
          <cell r="B31" t="str">
            <v>Knowledge (psionics)</v>
          </cell>
          <cell r="M31" t="str">
            <v>yes</v>
          </cell>
          <cell r="O31" t="str">
            <v>Int</v>
          </cell>
          <cell r="R31">
            <v>5</v>
          </cell>
          <cell r="U31" t="str">
            <v>=</v>
          </cell>
          <cell r="V31">
            <v>1</v>
          </cell>
          <cell r="X31" t="str">
            <v>+</v>
          </cell>
          <cell r="Y31">
            <v>4</v>
          </cell>
          <cell r="AA31" t="str">
            <v>+</v>
          </cell>
          <cell r="AB31">
            <v>0</v>
          </cell>
          <cell r="AD31" t="str">
            <v>+</v>
          </cell>
          <cell r="AE31">
            <v>0</v>
          </cell>
          <cell r="AG31" t="str">
            <v>+</v>
          </cell>
          <cell r="AH31">
            <v>0</v>
          </cell>
          <cell r="AJ31" t="str">
            <v>+</v>
          </cell>
          <cell r="AK31">
            <v>0</v>
          </cell>
          <cell r="AM31" t="str">
            <v>+</v>
          </cell>
          <cell r="AN31">
            <v>0</v>
          </cell>
          <cell r="AP31" t="str">
            <v>+</v>
          </cell>
          <cell r="AQ31">
            <v>0</v>
          </cell>
          <cell r="AS31" t="str">
            <v>+</v>
          </cell>
          <cell r="AT31">
            <v>0</v>
          </cell>
          <cell r="AV31" t="str">
            <v>+</v>
          </cell>
          <cell r="AW31">
            <v>0</v>
          </cell>
          <cell r="AY31" t="str">
            <v>+</v>
          </cell>
          <cell r="BF31">
            <v>4</v>
          </cell>
        </row>
        <row r="32">
          <cell r="B32" t="str">
            <v>Knowledge (nobility)</v>
          </cell>
          <cell r="M32" t="str">
            <v>yes</v>
          </cell>
          <cell r="O32" t="str">
            <v>Int</v>
          </cell>
          <cell r="R32">
            <v>8</v>
          </cell>
          <cell r="U32" t="str">
            <v>=</v>
          </cell>
          <cell r="V32">
            <v>4</v>
          </cell>
          <cell r="X32" t="str">
            <v>+</v>
          </cell>
          <cell r="Y32">
            <v>4</v>
          </cell>
          <cell r="AA32" t="str">
            <v>+</v>
          </cell>
          <cell r="AB32">
            <v>0</v>
          </cell>
          <cell r="AD32" t="str">
            <v>+</v>
          </cell>
          <cell r="AE32">
            <v>0</v>
          </cell>
          <cell r="AG32" t="str">
            <v>+</v>
          </cell>
          <cell r="AH32">
            <v>0</v>
          </cell>
          <cell r="AJ32" t="str">
            <v>+</v>
          </cell>
          <cell r="AK32">
            <v>0</v>
          </cell>
          <cell r="AM32" t="str">
            <v>+</v>
          </cell>
          <cell r="AN32">
            <v>0</v>
          </cell>
          <cell r="AP32" t="str">
            <v>+</v>
          </cell>
          <cell r="AQ32">
            <v>0</v>
          </cell>
          <cell r="AS32" t="str">
            <v>+</v>
          </cell>
          <cell r="AT32">
            <v>0</v>
          </cell>
          <cell r="AV32" t="str">
            <v>+</v>
          </cell>
          <cell r="AW32">
            <v>0</v>
          </cell>
          <cell r="AY32" t="str">
            <v>+</v>
          </cell>
          <cell r="BF32">
            <v>4</v>
          </cell>
        </row>
        <row r="33">
          <cell r="B33" t="str">
            <v>Knowledge (religion)</v>
          </cell>
          <cell r="M33" t="str">
            <v>yes</v>
          </cell>
          <cell r="O33" t="str">
            <v>Int</v>
          </cell>
          <cell r="R33">
            <v>5</v>
          </cell>
          <cell r="U33" t="str">
            <v>=</v>
          </cell>
          <cell r="V33">
            <v>1</v>
          </cell>
          <cell r="X33" t="str">
            <v>+</v>
          </cell>
          <cell r="Y33">
            <v>4</v>
          </cell>
          <cell r="AA33" t="str">
            <v>+</v>
          </cell>
          <cell r="AB33">
            <v>0</v>
          </cell>
          <cell r="AD33" t="str">
            <v>+</v>
          </cell>
          <cell r="AE33">
            <v>0</v>
          </cell>
          <cell r="AG33" t="str">
            <v>+</v>
          </cell>
          <cell r="AH33">
            <v>0</v>
          </cell>
          <cell r="AJ33" t="str">
            <v>+</v>
          </cell>
          <cell r="AK33">
            <v>0</v>
          </cell>
          <cell r="AM33" t="str">
            <v>+</v>
          </cell>
          <cell r="AN33">
            <v>0</v>
          </cell>
          <cell r="AP33" t="str">
            <v>+</v>
          </cell>
          <cell r="AQ33">
            <v>0</v>
          </cell>
          <cell r="AS33" t="str">
            <v>+</v>
          </cell>
          <cell r="AT33">
            <v>0</v>
          </cell>
          <cell r="AV33" t="str">
            <v>+</v>
          </cell>
          <cell r="AY33" t="str">
            <v>+</v>
          </cell>
          <cell r="BF33">
            <v>4</v>
          </cell>
        </row>
        <row r="34">
          <cell r="B34" t="str">
            <v>Knowledge (the planes)</v>
          </cell>
          <cell r="M34" t="str">
            <v>yes</v>
          </cell>
          <cell r="O34" t="str">
            <v>Int</v>
          </cell>
          <cell r="Q34">
            <v>0</v>
          </cell>
          <cell r="R34">
            <v>5</v>
          </cell>
          <cell r="U34" t="str">
            <v>=</v>
          </cell>
          <cell r="V34">
            <v>1</v>
          </cell>
          <cell r="X34" t="str">
            <v>+</v>
          </cell>
          <cell r="Y34">
            <v>4</v>
          </cell>
          <cell r="AA34" t="str">
            <v>+</v>
          </cell>
          <cell r="AB34">
            <v>0</v>
          </cell>
          <cell r="AD34" t="str">
            <v>+</v>
          </cell>
          <cell r="AE34">
            <v>0</v>
          </cell>
          <cell r="AG34" t="str">
            <v>+</v>
          </cell>
          <cell r="AH34">
            <v>0</v>
          </cell>
          <cell r="AJ34" t="str">
            <v>+</v>
          </cell>
          <cell r="AK34">
            <v>0</v>
          </cell>
          <cell r="AM34" t="str">
            <v>+</v>
          </cell>
          <cell r="AN34">
            <v>0</v>
          </cell>
          <cell r="AP34" t="str">
            <v>+</v>
          </cell>
          <cell r="AQ34">
            <v>0</v>
          </cell>
          <cell r="AS34" t="str">
            <v>+</v>
          </cell>
          <cell r="AT34">
            <v>0</v>
          </cell>
          <cell r="AV34" t="str">
            <v>+</v>
          </cell>
          <cell r="AY34" t="str">
            <v>+</v>
          </cell>
          <cell r="BF34">
            <v>4</v>
          </cell>
        </row>
        <row r="35">
          <cell r="B35" t="str">
            <v>Listen</v>
          </cell>
          <cell r="M35" t="str">
            <v>yes</v>
          </cell>
          <cell r="O35" t="str">
            <v>Wis</v>
          </cell>
          <cell r="Q35">
            <v>1</v>
          </cell>
          <cell r="R35">
            <v>3</v>
          </cell>
          <cell r="U35" t="str">
            <v>=</v>
          </cell>
          <cell r="V35">
            <v>2</v>
          </cell>
          <cell r="X35" t="str">
            <v>+</v>
          </cell>
          <cell r="Y35">
            <v>1</v>
          </cell>
          <cell r="AA35" t="str">
            <v>+</v>
          </cell>
          <cell r="AB35">
            <v>0</v>
          </cell>
          <cell r="AD35" t="str">
            <v>+</v>
          </cell>
          <cell r="AE35">
            <v>0</v>
          </cell>
          <cell r="AG35" t="str">
            <v>+</v>
          </cell>
          <cell r="AH35">
            <v>0</v>
          </cell>
          <cell r="AJ35" t="str">
            <v>+</v>
          </cell>
          <cell r="AK35">
            <v>0</v>
          </cell>
          <cell r="AM35" t="str">
            <v>+</v>
          </cell>
          <cell r="AN35">
            <v>0</v>
          </cell>
          <cell r="AP35" t="str">
            <v>+</v>
          </cell>
          <cell r="AQ35">
            <v>0</v>
          </cell>
          <cell r="AS35" t="str">
            <v>+</v>
          </cell>
          <cell r="AT35">
            <v>0</v>
          </cell>
          <cell r="AV35" t="str">
            <v>+</v>
          </cell>
          <cell r="AY35" t="str">
            <v>+</v>
          </cell>
          <cell r="BF35">
            <v>1</v>
          </cell>
        </row>
        <row r="36">
          <cell r="B36" t="str">
            <v>Move Silently</v>
          </cell>
          <cell r="M36" t="str">
            <v>yes</v>
          </cell>
          <cell r="O36" t="str">
            <v>Dex</v>
          </cell>
          <cell r="Q36">
            <v>1</v>
          </cell>
          <cell r="R36">
            <v>7</v>
          </cell>
          <cell r="U36" t="str">
            <v>=</v>
          </cell>
          <cell r="V36">
            <v>4</v>
          </cell>
          <cell r="X36" t="str">
            <v>+</v>
          </cell>
          <cell r="Y36">
            <v>4</v>
          </cell>
          <cell r="AA36" t="str">
            <v>+</v>
          </cell>
          <cell r="AB36">
            <v>0</v>
          </cell>
          <cell r="AD36" t="str">
            <v>+</v>
          </cell>
          <cell r="AE36">
            <v>0</v>
          </cell>
          <cell r="AG36" t="str">
            <v>+</v>
          </cell>
          <cell r="AH36">
            <v>0</v>
          </cell>
          <cell r="AJ36" t="str">
            <v>+</v>
          </cell>
          <cell r="AK36">
            <v>0</v>
          </cell>
          <cell r="AM36" t="str">
            <v>+</v>
          </cell>
          <cell r="AN36">
            <v>0</v>
          </cell>
          <cell r="AP36" t="str">
            <v>+</v>
          </cell>
          <cell r="AQ36">
            <v>0</v>
          </cell>
          <cell r="AS36" t="str">
            <v>+</v>
          </cell>
          <cell r="AT36">
            <v>0</v>
          </cell>
          <cell r="AV36" t="str">
            <v>+</v>
          </cell>
          <cell r="AY36" t="str">
            <v>+</v>
          </cell>
          <cell r="BB36" t="str">
            <v>+</v>
          </cell>
          <cell r="BC36">
            <v>-1</v>
          </cell>
          <cell r="BF36">
            <v>3</v>
          </cell>
        </row>
        <row r="37">
          <cell r="B37" t="str">
            <v>Open Lock</v>
          </cell>
          <cell r="M37" t="str">
            <v>yes</v>
          </cell>
          <cell r="O37" t="str">
            <v>Dex</v>
          </cell>
          <cell r="Q37">
            <v>0</v>
          </cell>
          <cell r="R37">
            <v>9</v>
          </cell>
          <cell r="U37" t="str">
            <v>=</v>
          </cell>
          <cell r="V37">
            <v>3</v>
          </cell>
          <cell r="X37" t="str">
            <v>+</v>
          </cell>
          <cell r="Y37">
            <v>4</v>
          </cell>
          <cell r="AA37" t="str">
            <v>+</v>
          </cell>
          <cell r="AB37">
            <v>0</v>
          </cell>
          <cell r="AD37" t="str">
            <v>+</v>
          </cell>
          <cell r="AE37">
            <v>0</v>
          </cell>
          <cell r="AG37" t="str">
            <v>+</v>
          </cell>
          <cell r="AH37">
            <v>0</v>
          </cell>
          <cell r="AJ37" t="str">
            <v>+</v>
          </cell>
          <cell r="AK37">
            <v>0</v>
          </cell>
          <cell r="AM37" t="str">
            <v>+</v>
          </cell>
          <cell r="AN37">
            <v>0</v>
          </cell>
          <cell r="AP37" t="str">
            <v>+</v>
          </cell>
          <cell r="AQ37">
            <v>0</v>
          </cell>
          <cell r="AS37" t="str">
            <v>+</v>
          </cell>
          <cell r="AT37">
            <v>0</v>
          </cell>
          <cell r="AV37" t="str">
            <v>+</v>
          </cell>
          <cell r="AW37">
            <v>2</v>
          </cell>
          <cell r="AY37" t="str">
            <v>+</v>
          </cell>
          <cell r="BF37">
            <v>6</v>
          </cell>
        </row>
        <row r="38">
          <cell r="B38" t="str">
            <v>Perform</v>
          </cell>
          <cell r="G38" t="str">
            <v>(specify)</v>
          </cell>
          <cell r="M38" t="str">
            <v>yes</v>
          </cell>
          <cell r="O38" t="str">
            <v>Cha</v>
          </cell>
          <cell r="Q38">
            <v>1</v>
          </cell>
          <cell r="R38">
            <v>0</v>
          </cell>
          <cell r="U38" t="str">
            <v>=</v>
          </cell>
          <cell r="V38">
            <v>0</v>
          </cell>
          <cell r="X38" t="str">
            <v>+</v>
          </cell>
          <cell r="Y38">
            <v>0</v>
          </cell>
          <cell r="AA38" t="str">
            <v>+</v>
          </cell>
          <cell r="AB38">
            <v>0</v>
          </cell>
          <cell r="AD38" t="str">
            <v>+</v>
          </cell>
          <cell r="AE38">
            <v>0</v>
          </cell>
          <cell r="AG38" t="str">
            <v>+</v>
          </cell>
          <cell r="AH38">
            <v>0</v>
          </cell>
          <cell r="AJ38" t="str">
            <v>+</v>
          </cell>
          <cell r="AK38">
            <v>0</v>
          </cell>
          <cell r="AM38" t="str">
            <v>+</v>
          </cell>
          <cell r="AN38">
            <v>0</v>
          </cell>
          <cell r="AP38" t="str">
            <v>+</v>
          </cell>
          <cell r="AQ38">
            <v>0</v>
          </cell>
          <cell r="AS38" t="str">
            <v>+</v>
          </cell>
          <cell r="AT38">
            <v>0</v>
          </cell>
          <cell r="AV38" t="str">
            <v>+</v>
          </cell>
          <cell r="AY38" t="str">
            <v>+</v>
          </cell>
          <cell r="BF38">
            <v>0</v>
          </cell>
        </row>
        <row r="39">
          <cell r="B39" t="str">
            <v>Profession</v>
          </cell>
          <cell r="G39" t="str">
            <v>Locksmith</v>
          </cell>
          <cell r="M39" t="str">
            <v>yes</v>
          </cell>
          <cell r="O39" t="str">
            <v>Wis</v>
          </cell>
          <cell r="Q39">
            <v>0</v>
          </cell>
          <cell r="R39">
            <v>6</v>
          </cell>
          <cell r="U39" t="str">
            <v>=</v>
          </cell>
          <cell r="V39">
            <v>5</v>
          </cell>
          <cell r="X39" t="str">
            <v>+</v>
          </cell>
          <cell r="Y39">
            <v>1</v>
          </cell>
          <cell r="AA39" t="str">
            <v>+</v>
          </cell>
          <cell r="AB39">
            <v>0</v>
          </cell>
          <cell r="AD39" t="str">
            <v>+</v>
          </cell>
          <cell r="AE39">
            <v>0</v>
          </cell>
          <cell r="AG39" t="str">
            <v>+</v>
          </cell>
          <cell r="AH39">
            <v>0</v>
          </cell>
          <cell r="AJ39" t="str">
            <v>+</v>
          </cell>
          <cell r="AK39">
            <v>0</v>
          </cell>
          <cell r="AM39" t="str">
            <v>+</v>
          </cell>
          <cell r="AN39">
            <v>0</v>
          </cell>
          <cell r="AP39" t="str">
            <v>+</v>
          </cell>
          <cell r="AQ39">
            <v>0</v>
          </cell>
          <cell r="AS39" t="str">
            <v>+</v>
          </cell>
          <cell r="AT39">
            <v>0</v>
          </cell>
          <cell r="AV39" t="str">
            <v>+</v>
          </cell>
          <cell r="AY39" t="str">
            <v>+</v>
          </cell>
          <cell r="BF39">
            <v>1</v>
          </cell>
        </row>
        <row r="40">
          <cell r="B40" t="str">
            <v>Psicraft</v>
          </cell>
          <cell r="M40" t="str">
            <v>no</v>
          </cell>
          <cell r="O40" t="str">
            <v>Int</v>
          </cell>
          <cell r="Q40">
            <v>0</v>
          </cell>
          <cell r="R40">
            <v>4</v>
          </cell>
          <cell r="U40" t="str">
            <v>=</v>
          </cell>
          <cell r="V40">
            <v>0</v>
          </cell>
          <cell r="X40" t="str">
            <v>+</v>
          </cell>
          <cell r="Y40">
            <v>4</v>
          </cell>
          <cell r="AA40" t="str">
            <v>+</v>
          </cell>
          <cell r="AB40">
            <v>0</v>
          </cell>
          <cell r="AD40" t="str">
            <v>+</v>
          </cell>
          <cell r="AE40">
            <v>0</v>
          </cell>
          <cell r="AG40" t="str">
            <v>+</v>
          </cell>
          <cell r="AH40">
            <v>0</v>
          </cell>
          <cell r="AJ40" t="str">
            <v>+</v>
          </cell>
          <cell r="AK40">
            <v>0</v>
          </cell>
          <cell r="AM40" t="str">
            <v>+</v>
          </cell>
          <cell r="AN40">
            <v>0</v>
          </cell>
          <cell r="AP40" t="str">
            <v>+</v>
          </cell>
          <cell r="AQ40">
            <v>0</v>
          </cell>
          <cell r="AS40" t="str">
            <v>+</v>
          </cell>
          <cell r="AT40">
            <v>0</v>
          </cell>
          <cell r="AV40" t="str">
            <v>+</v>
          </cell>
          <cell r="AY40" t="str">
            <v>+</v>
          </cell>
          <cell r="BF40">
            <v>4</v>
          </cell>
        </row>
        <row r="41">
          <cell r="B41" t="str">
            <v>Ride</v>
          </cell>
          <cell r="G41" t="str">
            <v>(specify)</v>
          </cell>
          <cell r="M41" t="str">
            <v>no</v>
          </cell>
          <cell r="O41" t="str">
            <v>Dex</v>
          </cell>
          <cell r="Q41">
            <v>1</v>
          </cell>
          <cell r="R41">
            <v>4</v>
          </cell>
          <cell r="U41" t="str">
            <v>=</v>
          </cell>
          <cell r="V41">
            <v>0</v>
          </cell>
          <cell r="X41" t="str">
            <v>+</v>
          </cell>
          <cell r="Y41">
            <v>4</v>
          </cell>
          <cell r="AA41" t="str">
            <v>+</v>
          </cell>
          <cell r="AB41">
            <v>0</v>
          </cell>
          <cell r="AD41" t="str">
            <v>+</v>
          </cell>
          <cell r="AE41">
            <v>0</v>
          </cell>
          <cell r="AG41" t="str">
            <v>+</v>
          </cell>
          <cell r="AH41">
            <v>0</v>
          </cell>
          <cell r="AJ41" t="str">
            <v>+</v>
          </cell>
          <cell r="AK41">
            <v>0</v>
          </cell>
          <cell r="AM41" t="str">
            <v>+</v>
          </cell>
          <cell r="AN41">
            <v>0</v>
          </cell>
          <cell r="AP41" t="str">
            <v>+</v>
          </cell>
          <cell r="AQ41">
            <v>0</v>
          </cell>
          <cell r="AS41" t="str">
            <v>+</v>
          </cell>
          <cell r="AT41">
            <v>0</v>
          </cell>
          <cell r="AV41" t="str">
            <v>+</v>
          </cell>
          <cell r="AW41">
            <v>0</v>
          </cell>
          <cell r="AY41" t="str">
            <v>+</v>
          </cell>
          <cell r="BF41">
            <v>4</v>
          </cell>
        </row>
        <row r="42">
          <cell r="B42" t="str">
            <v>Search</v>
          </cell>
          <cell r="M42" t="str">
            <v>yes</v>
          </cell>
          <cell r="O42" t="str">
            <v>Int</v>
          </cell>
          <cell r="Q42">
            <v>1</v>
          </cell>
          <cell r="R42">
            <v>11</v>
          </cell>
          <cell r="U42" t="str">
            <v>=</v>
          </cell>
          <cell r="V42">
            <v>7</v>
          </cell>
          <cell r="X42" t="str">
            <v>+</v>
          </cell>
          <cell r="Y42">
            <v>4</v>
          </cell>
          <cell r="AA42" t="str">
            <v>+</v>
          </cell>
          <cell r="AB42">
            <v>0</v>
          </cell>
          <cell r="AD42" t="str">
            <v>+</v>
          </cell>
          <cell r="AE42">
            <v>0</v>
          </cell>
          <cell r="AG42" t="str">
            <v>+</v>
          </cell>
          <cell r="AH42">
            <v>0</v>
          </cell>
          <cell r="AJ42" t="str">
            <v>+</v>
          </cell>
          <cell r="AK42">
            <v>0</v>
          </cell>
          <cell r="AM42" t="str">
            <v>+</v>
          </cell>
          <cell r="AN42">
            <v>0</v>
          </cell>
          <cell r="AP42" t="str">
            <v>+</v>
          </cell>
          <cell r="AQ42">
            <v>0</v>
          </cell>
          <cell r="AS42" t="str">
            <v>+</v>
          </cell>
          <cell r="AT42">
            <v>0</v>
          </cell>
          <cell r="AV42" t="str">
            <v>+</v>
          </cell>
          <cell r="AY42" t="str">
            <v>+</v>
          </cell>
          <cell r="BF42">
            <v>4</v>
          </cell>
        </row>
        <row r="43">
          <cell r="B43" t="str">
            <v>Sense Motive</v>
          </cell>
          <cell r="M43" t="str">
            <v>yes</v>
          </cell>
          <cell r="O43" t="str">
            <v>Wis</v>
          </cell>
          <cell r="Q43">
            <v>1</v>
          </cell>
          <cell r="R43">
            <v>4</v>
          </cell>
          <cell r="U43" t="str">
            <v>=</v>
          </cell>
          <cell r="V43">
            <v>3</v>
          </cell>
          <cell r="X43" t="str">
            <v>+</v>
          </cell>
          <cell r="Y43">
            <v>1</v>
          </cell>
          <cell r="AA43" t="str">
            <v>+</v>
          </cell>
          <cell r="AB43">
            <v>0</v>
          </cell>
          <cell r="AD43" t="str">
            <v>+</v>
          </cell>
          <cell r="AE43">
            <v>0</v>
          </cell>
          <cell r="AG43" t="str">
            <v>+</v>
          </cell>
          <cell r="AH43">
            <v>0</v>
          </cell>
          <cell r="AJ43" t="str">
            <v>+</v>
          </cell>
          <cell r="AK43">
            <v>0</v>
          </cell>
          <cell r="AM43" t="str">
            <v>+</v>
          </cell>
          <cell r="AN43">
            <v>0</v>
          </cell>
          <cell r="AP43" t="str">
            <v>+</v>
          </cell>
          <cell r="AQ43">
            <v>0</v>
          </cell>
          <cell r="AS43" t="str">
            <v>+</v>
          </cell>
          <cell r="AT43">
            <v>0</v>
          </cell>
          <cell r="AV43" t="str">
            <v>+</v>
          </cell>
          <cell r="AY43" t="str">
            <v>+</v>
          </cell>
          <cell r="BF43">
            <v>1</v>
          </cell>
        </row>
        <row r="44">
          <cell r="B44" t="str">
            <v>Slight of Hand</v>
          </cell>
          <cell r="M44" t="str">
            <v>yes</v>
          </cell>
          <cell r="O44" t="str">
            <v>Dex</v>
          </cell>
          <cell r="R44">
            <v>3</v>
          </cell>
          <cell r="U44" t="str">
            <v>=</v>
          </cell>
          <cell r="V44">
            <v>0</v>
          </cell>
          <cell r="X44" t="str">
            <v>+</v>
          </cell>
          <cell r="Y44">
            <v>4</v>
          </cell>
          <cell r="AA44" t="str">
            <v>+</v>
          </cell>
          <cell r="AB44">
            <v>0</v>
          </cell>
          <cell r="AD44" t="str">
            <v>+</v>
          </cell>
          <cell r="AE44">
            <v>0</v>
          </cell>
          <cell r="AG44" t="str">
            <v>+</v>
          </cell>
          <cell r="AH44">
            <v>0</v>
          </cell>
          <cell r="AJ44" t="str">
            <v>+</v>
          </cell>
          <cell r="AK44">
            <v>0</v>
          </cell>
          <cell r="AM44" t="str">
            <v>+</v>
          </cell>
          <cell r="AN44">
            <v>0</v>
          </cell>
          <cell r="AP44" t="str">
            <v>+</v>
          </cell>
          <cell r="AQ44">
            <v>0</v>
          </cell>
          <cell r="AT44">
            <v>0</v>
          </cell>
          <cell r="AV44" t="str">
            <v>+</v>
          </cell>
          <cell r="AW44">
            <v>0</v>
          </cell>
          <cell r="AY44" t="str">
            <v>+</v>
          </cell>
          <cell r="BB44" t="str">
            <v>+</v>
          </cell>
          <cell r="BC44">
            <v>-1</v>
          </cell>
          <cell r="BF44">
            <v>3</v>
          </cell>
        </row>
        <row r="45">
          <cell r="B45" t="str">
            <v>Speak Language</v>
          </cell>
          <cell r="M45" t="str">
            <v>yes</v>
          </cell>
          <cell r="O45" t="str">
            <v>n/a</v>
          </cell>
          <cell r="R45">
            <v>0</v>
          </cell>
          <cell r="V45">
            <v>0</v>
          </cell>
          <cell r="Y45">
            <v>0</v>
          </cell>
          <cell r="AB45">
            <v>0</v>
          </cell>
          <cell r="AE45">
            <v>0</v>
          </cell>
          <cell r="AH45">
            <v>0</v>
          </cell>
          <cell r="AK45">
            <v>0</v>
          </cell>
          <cell r="AN45">
            <v>0</v>
          </cell>
          <cell r="AQ45">
            <v>0</v>
          </cell>
          <cell r="AT45">
            <v>0</v>
          </cell>
          <cell r="BF45">
            <v>0</v>
          </cell>
        </row>
        <row r="46">
          <cell r="B46" t="str">
            <v>Spellcraft</v>
          </cell>
          <cell r="M46" t="str">
            <v>no</v>
          </cell>
          <cell r="O46" t="str">
            <v>Int</v>
          </cell>
          <cell r="Q46">
            <v>0</v>
          </cell>
          <cell r="R46">
            <v>4</v>
          </cell>
          <cell r="U46" t="str">
            <v>=</v>
          </cell>
          <cell r="V46">
            <v>0</v>
          </cell>
          <cell r="X46" t="str">
            <v>+</v>
          </cell>
          <cell r="Y46">
            <v>4</v>
          </cell>
          <cell r="AA46" t="str">
            <v>+</v>
          </cell>
          <cell r="AB46">
            <v>0</v>
          </cell>
          <cell r="AD46" t="str">
            <v>+</v>
          </cell>
          <cell r="AE46">
            <v>0</v>
          </cell>
          <cell r="AG46" t="str">
            <v>+</v>
          </cell>
          <cell r="AH46">
            <v>0</v>
          </cell>
          <cell r="AJ46" t="str">
            <v>+</v>
          </cell>
          <cell r="AK46">
            <v>0</v>
          </cell>
          <cell r="AM46" t="str">
            <v>+</v>
          </cell>
          <cell r="AN46">
            <v>0</v>
          </cell>
          <cell r="AP46" t="str">
            <v>+</v>
          </cell>
          <cell r="AQ46">
            <v>0</v>
          </cell>
          <cell r="AS46" t="str">
            <v>+</v>
          </cell>
          <cell r="AT46">
            <v>0</v>
          </cell>
          <cell r="AV46" t="str">
            <v>+</v>
          </cell>
          <cell r="AW46">
            <v>0</v>
          </cell>
          <cell r="AY46" t="str">
            <v>+</v>
          </cell>
          <cell r="BF46">
            <v>4</v>
          </cell>
        </row>
        <row r="47">
          <cell r="B47" t="str">
            <v>Spot</v>
          </cell>
          <cell r="M47" t="str">
            <v>yes</v>
          </cell>
          <cell r="O47" t="str">
            <v>Wis</v>
          </cell>
          <cell r="Q47">
            <v>1</v>
          </cell>
          <cell r="R47">
            <v>9</v>
          </cell>
          <cell r="U47" t="str">
            <v>=</v>
          </cell>
          <cell r="V47">
            <v>8</v>
          </cell>
          <cell r="X47" t="str">
            <v>+</v>
          </cell>
          <cell r="Y47">
            <v>1</v>
          </cell>
          <cell r="AA47" t="str">
            <v>+</v>
          </cell>
          <cell r="AB47">
            <v>0</v>
          </cell>
          <cell r="AD47" t="str">
            <v>+</v>
          </cell>
          <cell r="AE47">
            <v>0</v>
          </cell>
          <cell r="AG47" t="str">
            <v>+</v>
          </cell>
          <cell r="AH47">
            <v>0</v>
          </cell>
          <cell r="AJ47" t="str">
            <v>+</v>
          </cell>
          <cell r="AK47">
            <v>0</v>
          </cell>
          <cell r="AM47" t="str">
            <v>+</v>
          </cell>
          <cell r="AN47">
            <v>0</v>
          </cell>
          <cell r="AP47" t="str">
            <v>+</v>
          </cell>
          <cell r="AQ47">
            <v>0</v>
          </cell>
          <cell r="AS47" t="str">
            <v>+</v>
          </cell>
          <cell r="AT47">
            <v>0</v>
          </cell>
          <cell r="AV47" t="str">
            <v>+</v>
          </cell>
          <cell r="AY47" t="str">
            <v>+</v>
          </cell>
          <cell r="BF47">
            <v>1</v>
          </cell>
        </row>
        <row r="48">
          <cell r="B48" t="str">
            <v>Survival</v>
          </cell>
          <cell r="M48" t="str">
            <v>yes</v>
          </cell>
          <cell r="O48" t="str">
            <v>Wis</v>
          </cell>
          <cell r="Q48">
            <v>1</v>
          </cell>
          <cell r="R48">
            <v>5</v>
          </cell>
          <cell r="U48" t="str">
            <v>=</v>
          </cell>
          <cell r="V48">
            <v>4</v>
          </cell>
          <cell r="X48" t="str">
            <v>+</v>
          </cell>
          <cell r="Y48">
            <v>1</v>
          </cell>
          <cell r="AA48" t="str">
            <v>+</v>
          </cell>
          <cell r="AB48">
            <v>0</v>
          </cell>
          <cell r="AD48" t="str">
            <v>+</v>
          </cell>
          <cell r="AE48">
            <v>0</v>
          </cell>
          <cell r="AG48" t="str">
            <v>+</v>
          </cell>
          <cell r="AH48">
            <v>0</v>
          </cell>
          <cell r="AJ48" t="str">
            <v>+</v>
          </cell>
          <cell r="AK48">
            <v>0</v>
          </cell>
          <cell r="AM48" t="str">
            <v>+</v>
          </cell>
          <cell r="AN48">
            <v>0</v>
          </cell>
          <cell r="AP48" t="str">
            <v>+</v>
          </cell>
          <cell r="AQ48">
            <v>0</v>
          </cell>
          <cell r="AS48" t="str">
            <v>+</v>
          </cell>
          <cell r="AT48">
            <v>0</v>
          </cell>
          <cell r="AV48" t="str">
            <v>+</v>
          </cell>
          <cell r="AY48" t="str">
            <v>+</v>
          </cell>
          <cell r="BF48">
            <v>1</v>
          </cell>
        </row>
        <row r="49">
          <cell r="B49" t="str">
            <v>Swim</v>
          </cell>
          <cell r="M49" t="str">
            <v>yes</v>
          </cell>
          <cell r="O49" t="str">
            <v>Str</v>
          </cell>
          <cell r="Q49">
            <v>1</v>
          </cell>
          <cell r="R49">
            <v>1</v>
          </cell>
          <cell r="U49" t="str">
            <v>=</v>
          </cell>
          <cell r="V49">
            <v>0</v>
          </cell>
          <cell r="X49" t="str">
            <v>+</v>
          </cell>
          <cell r="Y49">
            <v>3</v>
          </cell>
          <cell r="AA49" t="str">
            <v>+</v>
          </cell>
          <cell r="AB49">
            <v>0</v>
          </cell>
          <cell r="AD49" t="str">
            <v>+</v>
          </cell>
          <cell r="AE49">
            <v>0</v>
          </cell>
          <cell r="AG49" t="str">
            <v>+</v>
          </cell>
          <cell r="AH49">
            <v>0</v>
          </cell>
          <cell r="AJ49" t="str">
            <v>+</v>
          </cell>
          <cell r="AK49">
            <v>0</v>
          </cell>
          <cell r="AM49" t="str">
            <v>+</v>
          </cell>
          <cell r="AN49">
            <v>0</v>
          </cell>
          <cell r="AP49" t="str">
            <v>+</v>
          </cell>
          <cell r="AQ49">
            <v>0</v>
          </cell>
          <cell r="AS49" t="str">
            <v>+</v>
          </cell>
          <cell r="AT49">
            <v>0</v>
          </cell>
          <cell r="AV49" t="str">
            <v>+</v>
          </cell>
          <cell r="AY49" t="str">
            <v>+</v>
          </cell>
          <cell r="BB49" t="str">
            <v>+</v>
          </cell>
          <cell r="BC49">
            <v>-2</v>
          </cell>
          <cell r="BF49">
            <v>1</v>
          </cell>
        </row>
        <row r="50">
          <cell r="B50" t="str">
            <v>Tumble</v>
          </cell>
          <cell r="M50" t="str">
            <v>yes</v>
          </cell>
          <cell r="O50" t="str">
            <v>Dex</v>
          </cell>
          <cell r="Q50">
            <v>0</v>
          </cell>
          <cell r="R50">
            <v>3</v>
          </cell>
          <cell r="U50" t="str">
            <v>=</v>
          </cell>
          <cell r="V50">
            <v>0</v>
          </cell>
          <cell r="X50" t="str">
            <v>+</v>
          </cell>
          <cell r="Y50">
            <v>4</v>
          </cell>
          <cell r="AA50" t="str">
            <v>+</v>
          </cell>
          <cell r="AB50">
            <v>0</v>
          </cell>
          <cell r="AD50" t="str">
            <v>+</v>
          </cell>
          <cell r="AE50">
            <v>0</v>
          </cell>
          <cell r="AG50" t="str">
            <v>+</v>
          </cell>
          <cell r="AH50">
            <v>0</v>
          </cell>
          <cell r="AJ50" t="str">
            <v>+</v>
          </cell>
          <cell r="AK50">
            <v>0</v>
          </cell>
          <cell r="AM50" t="str">
            <v>+</v>
          </cell>
          <cell r="AN50">
            <v>0</v>
          </cell>
          <cell r="AP50" t="str">
            <v>+</v>
          </cell>
          <cell r="AQ50">
            <v>0</v>
          </cell>
          <cell r="AS50" t="str">
            <v>+</v>
          </cell>
          <cell r="AT50">
            <v>0</v>
          </cell>
          <cell r="AV50" t="str">
            <v>+</v>
          </cell>
          <cell r="AW50">
            <v>0</v>
          </cell>
          <cell r="AY50" t="str">
            <v>+</v>
          </cell>
          <cell r="BB50" t="str">
            <v>+</v>
          </cell>
          <cell r="BC50">
            <v>-1</v>
          </cell>
          <cell r="BF50">
            <v>3</v>
          </cell>
        </row>
        <row r="51">
          <cell r="B51" t="str">
            <v>Use Magic Device</v>
          </cell>
          <cell r="M51" t="str">
            <v>yes</v>
          </cell>
          <cell r="O51" t="str">
            <v>Cha</v>
          </cell>
          <cell r="Q51">
            <v>0</v>
          </cell>
          <cell r="R51">
            <v>4</v>
          </cell>
          <cell r="U51" t="str">
            <v>=</v>
          </cell>
          <cell r="V51">
            <v>4</v>
          </cell>
          <cell r="X51" t="str">
            <v>+</v>
          </cell>
          <cell r="Y51">
            <v>0</v>
          </cell>
          <cell r="AA51" t="str">
            <v>+</v>
          </cell>
          <cell r="AB51">
            <v>0</v>
          </cell>
          <cell r="AD51" t="str">
            <v>+</v>
          </cell>
          <cell r="AE51">
            <v>0</v>
          </cell>
          <cell r="AG51" t="str">
            <v>+</v>
          </cell>
          <cell r="AH51">
            <v>0</v>
          </cell>
          <cell r="AJ51" t="str">
            <v>+</v>
          </cell>
          <cell r="AK51">
            <v>0</v>
          </cell>
          <cell r="AM51" t="str">
            <v>+</v>
          </cell>
          <cell r="AN51">
            <v>0</v>
          </cell>
          <cell r="AP51" t="str">
            <v>+</v>
          </cell>
          <cell r="AQ51">
            <v>0</v>
          </cell>
          <cell r="AS51" t="str">
            <v>+</v>
          </cell>
          <cell r="AT51">
            <v>0</v>
          </cell>
          <cell r="AV51" t="str">
            <v>+</v>
          </cell>
          <cell r="AY51" t="str">
            <v>+</v>
          </cell>
          <cell r="BF51">
            <v>0</v>
          </cell>
        </row>
        <row r="52">
          <cell r="B52" t="str">
            <v>Use Psionic Device</v>
          </cell>
          <cell r="M52" t="str">
            <v>yes</v>
          </cell>
          <cell r="O52" t="str">
            <v>Cha</v>
          </cell>
          <cell r="Q52">
            <v>0</v>
          </cell>
          <cell r="R52">
            <v>0</v>
          </cell>
          <cell r="U52" t="str">
            <v>=</v>
          </cell>
          <cell r="V52">
            <v>0</v>
          </cell>
          <cell r="X52" t="str">
            <v>+</v>
          </cell>
          <cell r="Y52">
            <v>0</v>
          </cell>
          <cell r="AA52" t="str">
            <v>+</v>
          </cell>
          <cell r="AB52">
            <v>0</v>
          </cell>
          <cell r="AD52" t="str">
            <v>+</v>
          </cell>
          <cell r="AE52">
            <v>0</v>
          </cell>
          <cell r="AG52" t="str">
            <v>+</v>
          </cell>
          <cell r="AH52">
            <v>0</v>
          </cell>
          <cell r="AJ52" t="str">
            <v>+</v>
          </cell>
          <cell r="AK52">
            <v>0</v>
          </cell>
          <cell r="AM52" t="str">
            <v>+</v>
          </cell>
          <cell r="AN52">
            <v>0</v>
          </cell>
          <cell r="AP52" t="str">
            <v>+</v>
          </cell>
          <cell r="AQ52">
            <v>0</v>
          </cell>
          <cell r="AS52" t="str">
            <v>+</v>
          </cell>
          <cell r="AT52">
            <v>0</v>
          </cell>
          <cell r="AV52" t="str">
            <v>+</v>
          </cell>
          <cell r="AY52" t="str">
            <v>+</v>
          </cell>
          <cell r="BF52">
            <v>0</v>
          </cell>
        </row>
        <row r="53">
          <cell r="B53" t="str">
            <v>Use Rope</v>
          </cell>
          <cell r="M53" t="str">
            <v>yes</v>
          </cell>
          <cell r="O53" t="str">
            <v>Dex</v>
          </cell>
          <cell r="Q53">
            <v>1</v>
          </cell>
          <cell r="R53">
            <v>4</v>
          </cell>
          <cell r="U53" t="str">
            <v>=</v>
          </cell>
          <cell r="V53">
            <v>0</v>
          </cell>
          <cell r="X53" t="str">
            <v>+</v>
          </cell>
          <cell r="Y53">
            <v>4</v>
          </cell>
          <cell r="AA53" t="str">
            <v>+</v>
          </cell>
          <cell r="AB53">
            <v>0</v>
          </cell>
          <cell r="AD53" t="str">
            <v>+</v>
          </cell>
          <cell r="AE53">
            <v>0</v>
          </cell>
          <cell r="AG53" t="str">
            <v>+</v>
          </cell>
          <cell r="AH53">
            <v>0</v>
          </cell>
          <cell r="AJ53" t="str">
            <v>+</v>
          </cell>
          <cell r="AK53">
            <v>0</v>
          </cell>
          <cell r="AM53" t="str">
            <v>+</v>
          </cell>
          <cell r="AN53">
            <v>0</v>
          </cell>
          <cell r="AP53" t="str">
            <v>+</v>
          </cell>
          <cell r="AQ53">
            <v>0</v>
          </cell>
          <cell r="AS53" t="str">
            <v>+</v>
          </cell>
          <cell r="AT53">
            <v>0</v>
          </cell>
          <cell r="AV53" t="str">
            <v>+</v>
          </cell>
          <cell r="AY53" t="str">
            <v>+</v>
          </cell>
          <cell r="BF53">
            <v>4</v>
          </cell>
        </row>
        <row r="56">
          <cell r="BF56" t="str">
            <v xml:space="preserve">+2 to appraise checks relating to craft specialty
+2 bonus on survival checks to track
</v>
          </cell>
        </row>
      </sheetData>
      <sheetData sheetId="4" refreshError="1"/>
      <sheetData sheetId="5">
        <row r="3">
          <cell r="J3">
            <v>19</v>
          </cell>
        </row>
        <row r="4">
          <cell r="J4">
            <v>15</v>
          </cell>
          <cell r="L4">
            <v>15</v>
          </cell>
          <cell r="AV4">
            <v>4</v>
          </cell>
          <cell r="AY4">
            <v>-1</v>
          </cell>
          <cell r="BB4">
            <v>0.15</v>
          </cell>
        </row>
        <row r="20">
          <cell r="BF20">
            <v>0</v>
          </cell>
        </row>
        <row r="33">
          <cell r="B33" t="str">
            <v>Shortspear</v>
          </cell>
        </row>
        <row r="35">
          <cell r="BF35" t="str">
            <v xml:space="preserve">20' Range Increment, x2 damage against a charge; </v>
          </cell>
        </row>
        <row r="39">
          <cell r="H39" t="str">
            <v>+8</v>
          </cell>
        </row>
        <row r="40">
          <cell r="H40" t="str">
            <v>1d8+4</v>
          </cell>
          <cell r="AT40" t="str">
            <v>20/x3</v>
          </cell>
        </row>
        <row r="44">
          <cell r="B44" t="str">
            <v>Shortspear</v>
          </cell>
        </row>
        <row r="46">
          <cell r="BF46" t="str">
            <v xml:space="preserve">20' Range Increment, x2 damage against a charge; </v>
          </cell>
        </row>
        <row r="50">
          <cell r="H50" t="str">
            <v>+8</v>
          </cell>
        </row>
        <row r="51">
          <cell r="H51" t="str">
            <v>1d8+5</v>
          </cell>
          <cell r="AT51" t="str">
            <v>20/x3</v>
          </cell>
        </row>
        <row r="55">
          <cell r="B55" t="str">
            <v>Axe, throwing</v>
          </cell>
        </row>
        <row r="57">
          <cell r="BF57" t="str">
            <v xml:space="preserve">10' Range Increment; </v>
          </cell>
        </row>
        <row r="61">
          <cell r="H61" t="str">
            <v>+8</v>
          </cell>
        </row>
        <row r="62">
          <cell r="H62" t="str">
            <v>1d6+3</v>
          </cell>
          <cell r="AT62" t="str">
            <v>20/x2</v>
          </cell>
        </row>
        <row r="66">
          <cell r="B66" t="str">
            <v>Axe, battle</v>
          </cell>
        </row>
        <row r="68">
          <cell r="BF68" t="str">
            <v xml:space="preserve">Masterwork; </v>
          </cell>
        </row>
        <row r="72">
          <cell r="H72" t="str">
            <v>+8</v>
          </cell>
        </row>
        <row r="73">
          <cell r="H73" t="str">
            <v>1d8+3</v>
          </cell>
          <cell r="AT73" t="str">
            <v>20/x3</v>
          </cell>
        </row>
        <row r="77">
          <cell r="B77" t="str">
            <v>Dagger, Punching</v>
          </cell>
        </row>
        <row r="79">
          <cell r="BF79" t="str">
            <v/>
          </cell>
        </row>
        <row r="83">
          <cell r="H83" t="str">
            <v>+7</v>
          </cell>
        </row>
        <row r="84">
          <cell r="H84" t="str">
            <v>1d4+3</v>
          </cell>
          <cell r="AT84" t="str">
            <v>20/x3</v>
          </cell>
        </row>
      </sheetData>
      <sheetData sheetId="6" refreshError="1"/>
      <sheetData sheetId="7" refreshError="1"/>
      <sheetData sheetId="8">
        <row r="9">
          <cell r="A9" t="str">
            <v>-- Core Races --</v>
          </cell>
          <cell r="AA9" t="str">
            <v xml:space="preserve">
</v>
          </cell>
          <cell r="AK9" t="str">
            <v>--Core Races--</v>
          </cell>
          <cell r="AL9" t="str">
            <v xml:space="preserve"> </v>
          </cell>
        </row>
        <row r="10">
          <cell r="A10" t="str">
            <v>Dwarf (Hill)</v>
          </cell>
          <cell r="B10">
            <v>2</v>
          </cell>
          <cell r="C10">
            <v>20</v>
          </cell>
          <cell r="D10">
            <v>2</v>
          </cell>
          <cell r="E10" t="str">
            <v>Fighter</v>
          </cell>
          <cell r="F10" t="str">
            <v>Common, Dwarven</v>
          </cell>
          <cell r="G10" t="str">
            <v>Humanoid</v>
          </cell>
          <cell r="K10">
            <v>0.5</v>
          </cell>
          <cell r="L10" t="str">
            <v xml:space="preserve">Saving Throw Bonuses:
   +2 to Fortitude saves vs poison;
   +2 to Will saves vs spells/spell-like effects;
Combat Bonuses:
   +4 dodge bonus to AC vs giants;
   +1 to attacks vs orcs and goblinoids;
Skill Bonuses:
   +2 to Appraise rare/exotic items;
   </v>
          </cell>
          <cell r="M10" t="str">
            <v xml:space="preserve">Saving Throw Bonuses:
</v>
          </cell>
          <cell r="N10" t="str">
            <v xml:space="preserve">   +2 to Fortitude saves vs poison;
</v>
          </cell>
          <cell r="O10" t="str">
            <v xml:space="preserve">   +2 to Will saves vs spells/spell-like effects;
</v>
          </cell>
          <cell r="P10" t="str">
            <v xml:space="preserve">Combat Bonuses:
</v>
          </cell>
          <cell r="Q10" t="str">
            <v xml:space="preserve">   +4 dodge bonus to AC vs giants;
</v>
          </cell>
          <cell r="R10" t="str">
            <v xml:space="preserve">   +1 to attacks vs orcs and goblinoids;
</v>
          </cell>
          <cell r="S10" t="str">
            <v xml:space="preserve">Skill Bonuses:
</v>
          </cell>
          <cell r="T10" t="str">
            <v xml:space="preserve">   +2 to Appraise rare/exotic items;
</v>
          </cell>
          <cell r="U10" t="str">
            <v xml:space="preserve">   +2 to Craft stone/metal objects
</v>
          </cell>
          <cell r="V10" t="str">
            <v xml:space="preserve">Stonecunning: +2 to notice unusual stonework, automatic check
  within 10'; sense approximate depth underground;
</v>
          </cell>
          <cell r="W10" t="str">
            <v xml:space="preserve">Weapon Familiarity:  Dwarves treat dwarven waraxes and dwarven
  urgoshes as martial weapons;
</v>
          </cell>
          <cell r="X10" t="str">
            <v xml:space="preserve">Dwarves retain a movement of 20' even when wearing heavy and 
  medium armor or loads;
</v>
          </cell>
          <cell r="Y10" t="str">
            <v xml:space="preserve">Stability:  Dwarves gains a +4 bonus on ability checks made to resist 
  being bull rushed or tripped while standing firmly on the ground;
</v>
          </cell>
          <cell r="AA10" t="str">
            <v xml:space="preserve">
</v>
          </cell>
          <cell r="AG10">
            <v>2</v>
          </cell>
          <cell r="AJ10">
            <v>-2</v>
          </cell>
          <cell r="AK10" t="str">
            <v>Dwarf (Hill)</v>
          </cell>
          <cell r="AL10" t="str">
            <v xml:space="preserve"> </v>
          </cell>
        </row>
        <row r="11">
          <cell r="A11" t="str">
            <v>Elf (High)</v>
          </cell>
          <cell r="B11">
            <v>2</v>
          </cell>
          <cell r="C11">
            <v>30</v>
          </cell>
          <cell r="D11">
            <v>1</v>
          </cell>
          <cell r="E11" t="str">
            <v>Wizard</v>
          </cell>
          <cell r="F11" t="str">
            <v>Common, Elven</v>
          </cell>
          <cell r="G11" t="str">
            <v>Humanoid</v>
          </cell>
          <cell r="K11">
            <v>0.5</v>
          </cell>
          <cell r="L11" t="str">
            <v>Saving Throw Bonuses:
   +2 to Will saves vs Enchantments;
Skill Bonuses:
   +2 to Listen, Search and Spot checks;
immune to magic sleep;
proficient with longsword or rapier;
proficient with shortbow and longbow;
automatic Search check for secret doors wi</v>
          </cell>
          <cell r="M11" t="str">
            <v xml:space="preserve">Saving Throw Bonuses:
</v>
          </cell>
          <cell r="N11" t="str">
            <v xml:space="preserve">   +2 to Will saves vs Enchantments;
</v>
          </cell>
          <cell r="O11" t="str">
            <v xml:space="preserve">Skill Bonuses:
</v>
          </cell>
          <cell r="P11" t="str">
            <v xml:space="preserve">   +2 to Listen, Search and Spot checks;
</v>
          </cell>
          <cell r="Q11" t="str">
            <v xml:space="preserve">immune to magic sleep;
</v>
          </cell>
          <cell r="R11" t="str">
            <v xml:space="preserve">proficient with longsword or rapier;
</v>
          </cell>
          <cell r="S11" t="str">
            <v xml:space="preserve">proficient with shortbow and longbow;
</v>
          </cell>
          <cell r="T11" t="str">
            <v xml:space="preserve">automatic Search check for secret doors within 5';
</v>
          </cell>
          <cell r="AA11" t="str">
            <v xml:space="preserve">
</v>
          </cell>
          <cell r="AF11">
            <v>2</v>
          </cell>
          <cell r="AG11">
            <v>-2</v>
          </cell>
          <cell r="AK11" t="str">
            <v>Elf (High)</v>
          </cell>
          <cell r="AL11" t="str">
            <v xml:space="preserve"> </v>
          </cell>
          <cell r="BQ11">
            <v>2</v>
          </cell>
          <cell r="BX11">
            <v>2</v>
          </cell>
          <cell r="CC11">
            <v>2</v>
          </cell>
        </row>
        <row r="12">
          <cell r="A12" t="str">
            <v>Gnome (Rock)</v>
          </cell>
          <cell r="B12">
            <v>1</v>
          </cell>
          <cell r="C12">
            <v>20</v>
          </cell>
          <cell r="D12">
            <v>1</v>
          </cell>
          <cell r="E12" t="str">
            <v>Bard</v>
          </cell>
          <cell r="F12" t="str">
            <v>Common, Gnome</v>
          </cell>
          <cell r="G12" t="str">
            <v>Humanoid</v>
          </cell>
          <cell r="K12">
            <v>0.5</v>
          </cell>
          <cell r="L12" t="str">
            <v>Saving Throw Bonuses:
   +2 to saves vs Illusions;
Combat Bonuses:
   +4 dodge bonus to AC vs giants;
   +1 to attacks vs kobolds and goblinoids;
Skill Bonuses:
   +2 to Craft (Alchemy) checks;
   +2 to Listen checks;
Weapon Familiarity:  Gnomes treat gno</v>
          </cell>
          <cell r="M12" t="str">
            <v xml:space="preserve">Saving Throw Bonuses:
</v>
          </cell>
          <cell r="N12" t="str">
            <v xml:space="preserve">   +2 to saves vs Illusions;
</v>
          </cell>
          <cell r="O12" t="str">
            <v xml:space="preserve">Combat Bonuses:
</v>
          </cell>
          <cell r="P12" t="str">
            <v xml:space="preserve">   +4 dodge bonus to AC vs giants;
</v>
          </cell>
          <cell r="Q12" t="str">
            <v xml:space="preserve">   +1 to attacks vs kobolds and goblinoids;
</v>
          </cell>
          <cell r="R12" t="str">
            <v xml:space="preserve">Skill Bonuses:
</v>
          </cell>
          <cell r="S12" t="str">
            <v xml:space="preserve">   +2 to Craft (Alchemy) checks;
</v>
          </cell>
          <cell r="T12" t="str">
            <v xml:space="preserve">   +2 to Listen checks;
</v>
          </cell>
          <cell r="U12" t="str">
            <v xml:space="preserve">Weapon Familiarity:  Gnomes treat gnomish hooked hammers as 
  martial weapons;
</v>
          </cell>
          <cell r="V12" t="str">
            <v>Spell-like Abilities: Dancing Lights, Ghost Sound, Prestidigitation, 
  and Speak with Animals, each once/day as a 1st level caster</v>
          </cell>
          <cell r="AA12" t="str">
            <v xml:space="preserve">
</v>
          </cell>
          <cell r="AE12">
            <v>-2</v>
          </cell>
          <cell r="AG12">
            <v>2</v>
          </cell>
          <cell r="AK12" t="str">
            <v>Gnome (Rock)</v>
          </cell>
          <cell r="AL12" t="str">
            <v xml:space="preserve"> </v>
          </cell>
          <cell r="AS12">
            <v>2</v>
          </cell>
          <cell r="BQ12">
            <v>2</v>
          </cell>
        </row>
        <row r="13">
          <cell r="A13" t="str">
            <v>Half-Elf</v>
          </cell>
          <cell r="B13">
            <v>2</v>
          </cell>
          <cell r="C13">
            <v>30</v>
          </cell>
          <cell r="D13">
            <v>1</v>
          </cell>
          <cell r="E13" t="str">
            <v>Any</v>
          </cell>
          <cell r="F13" t="str">
            <v>Common, Elven</v>
          </cell>
          <cell r="G13" t="str">
            <v>Humanoid</v>
          </cell>
          <cell r="K13">
            <v>0.5</v>
          </cell>
          <cell r="L13" t="str">
            <v xml:space="preserve">Saving Throw Bonuses:
   +2 to saves vs Enchantments;
Skill Bonuses:
   +1 to Listen, Search and Spot checks;
   +2 Diplomacy and Gather Information checks;
Immune to magic sleep;
Considered elven for special abilities and effects;
</v>
          </cell>
          <cell r="M13" t="str">
            <v xml:space="preserve">Saving Throw Bonuses:
</v>
          </cell>
          <cell r="N13" t="str">
            <v xml:space="preserve">   +2 to saves vs Enchantments;
</v>
          </cell>
          <cell r="O13" t="str">
            <v xml:space="preserve">Skill Bonuses:
</v>
          </cell>
          <cell r="P13" t="str">
            <v xml:space="preserve">   +1 to Listen, Search and Spot checks;
   +2 Diplomacy and Gather Information checks;
</v>
          </cell>
          <cell r="Q13" t="str">
            <v xml:space="preserve">Immune to magic sleep;
</v>
          </cell>
          <cell r="R13" t="str">
            <v xml:space="preserve">Considered elven for special abilities and effects;
</v>
          </cell>
          <cell r="AA13" t="str">
            <v xml:space="preserve">
</v>
          </cell>
          <cell r="AK13" t="str">
            <v>Half-Elf</v>
          </cell>
          <cell r="AL13" t="str">
            <v xml:space="preserve"> </v>
          </cell>
          <cell r="AO13">
            <v>0</v>
          </cell>
          <cell r="AU13">
            <v>2</v>
          </cell>
          <cell r="AW13">
            <v>0</v>
          </cell>
          <cell r="AZ13">
            <v>2</v>
          </cell>
          <cell r="BC13">
            <v>4</v>
          </cell>
          <cell r="BD13">
            <v>0</v>
          </cell>
          <cell r="BQ13">
            <v>1</v>
          </cell>
          <cell r="BT13">
            <v>0</v>
          </cell>
          <cell r="BX13">
            <v>1</v>
          </cell>
          <cell r="CC13">
            <v>1</v>
          </cell>
          <cell r="CG13">
            <v>0</v>
          </cell>
        </row>
        <row r="14">
          <cell r="A14" t="str">
            <v>Half-Orc</v>
          </cell>
          <cell r="B14">
            <v>2</v>
          </cell>
          <cell r="C14">
            <v>30</v>
          </cell>
          <cell r="D14">
            <v>2</v>
          </cell>
          <cell r="E14" t="str">
            <v>Barbarian</v>
          </cell>
          <cell r="F14" t="str">
            <v>Common, Orc</v>
          </cell>
          <cell r="G14" t="str">
            <v>Humanoid</v>
          </cell>
          <cell r="K14">
            <v>0.5</v>
          </cell>
          <cell r="L14" t="str">
            <v xml:space="preserve">Considered orcish for special abilities and effects
</v>
          </cell>
          <cell r="M14" t="str">
            <v>Considered orcish for special abilities and effects</v>
          </cell>
          <cell r="AA14" t="str">
            <v xml:space="preserve">
</v>
          </cell>
          <cell r="AE14">
            <v>2</v>
          </cell>
          <cell r="AH14">
            <v>-2</v>
          </cell>
          <cell r="AJ14">
            <v>-2</v>
          </cell>
          <cell r="AK14" t="str">
            <v>Half-Orc</v>
          </cell>
          <cell r="AL14" t="str">
            <v xml:space="preserve"> </v>
          </cell>
          <cell r="BD14">
            <v>0</v>
          </cell>
        </row>
        <row r="15">
          <cell r="A15" t="str">
            <v>Halfling (Lightfeet)</v>
          </cell>
          <cell r="B15">
            <v>1</v>
          </cell>
          <cell r="C15">
            <v>20</v>
          </cell>
          <cell r="D15">
            <v>0</v>
          </cell>
          <cell r="E15" t="str">
            <v>Rogue</v>
          </cell>
          <cell r="F15" t="str">
            <v>Common, Halfling</v>
          </cell>
          <cell r="G15" t="str">
            <v>Humanoid</v>
          </cell>
          <cell r="K15">
            <v>0.5</v>
          </cell>
          <cell r="L15" t="str">
            <v xml:space="preserve">Saving Throw Bonuses:
   +1 to all saving throws;
   +2 morale bonus to saves vs fear;
Combat Bonuses:
   +1 to attacks with thrown weapons;
Skill Bonuses:
   +2 to Climb, Jump and Move Silently;
   +2 to Listen checks;
</v>
          </cell>
          <cell r="M15" t="str">
            <v xml:space="preserve">Saving Throw Bonuses:
</v>
          </cell>
          <cell r="N15" t="str">
            <v xml:space="preserve">   +1 to all saving throws;
</v>
          </cell>
          <cell r="O15" t="str">
            <v xml:space="preserve">   +2 morale bonus to saves vs fear;
</v>
          </cell>
          <cell r="P15" t="str">
            <v xml:space="preserve">Combat Bonuses:
</v>
          </cell>
          <cell r="Q15" t="str">
            <v xml:space="preserve">   +1 to attacks with thrown weapons;
</v>
          </cell>
          <cell r="R15" t="str">
            <v xml:space="preserve">Skill Bonuses:
</v>
          </cell>
          <cell r="S15" t="str">
            <v xml:space="preserve">   +2 to Climb, Jump and Move Silently;
</v>
          </cell>
          <cell r="T15" t="str">
            <v xml:space="preserve">   +2 to Listen checks;
</v>
          </cell>
          <cell r="AA15" t="str">
            <v xml:space="preserve">
</v>
          </cell>
          <cell r="AE15">
            <v>-2</v>
          </cell>
          <cell r="AF15">
            <v>2</v>
          </cell>
          <cell r="AK15" t="str">
            <v>Halfling (Lightfeet)</v>
          </cell>
          <cell r="AL15" t="str">
            <v xml:space="preserve"> </v>
          </cell>
          <cell r="AP15">
            <v>2</v>
          </cell>
          <cell r="BC15">
            <v>4</v>
          </cell>
          <cell r="BE15">
            <v>2</v>
          </cell>
          <cell r="BQ15">
            <v>2</v>
          </cell>
          <cell r="BR15">
            <v>2</v>
          </cell>
        </row>
        <row r="16">
          <cell r="A16" t="str">
            <v>Human</v>
          </cell>
          <cell r="B16">
            <v>2</v>
          </cell>
          <cell r="C16">
            <v>30</v>
          </cell>
          <cell r="D16">
            <v>0</v>
          </cell>
          <cell r="E16" t="str">
            <v>Any</v>
          </cell>
          <cell r="F16" t="str">
            <v>Common</v>
          </cell>
          <cell r="G16" t="str">
            <v>Humanoid</v>
          </cell>
          <cell r="K16">
            <v>0.5</v>
          </cell>
          <cell r="L16" t="str">
            <v xml:space="preserve">One extra feat at 1st level;
4 extra skill points at 1st level, and 1 extra skill point each 
  additional level
</v>
          </cell>
          <cell r="M16" t="str">
            <v xml:space="preserve">One extra feat at 1st level;
</v>
          </cell>
          <cell r="N16" t="str">
            <v xml:space="preserve">4 extra skill points at 1st level, and 1 extra skill point each 
  additional level
</v>
          </cell>
          <cell r="AA16" t="str">
            <v xml:space="preserve">
</v>
          </cell>
          <cell r="AK16" t="str">
            <v>Human</v>
          </cell>
          <cell r="AL16" t="str">
            <v xml:space="preserve"> </v>
          </cell>
        </row>
        <row r="17">
          <cell r="A17" t="str">
            <v>-- Alternate Core Races --</v>
          </cell>
        </row>
        <row r="18">
          <cell r="A18" t="str">
            <v>Changeling</v>
          </cell>
          <cell r="B18">
            <v>2</v>
          </cell>
          <cell r="C18">
            <v>30</v>
          </cell>
          <cell r="D18">
            <v>0</v>
          </cell>
          <cell r="E18" t="str">
            <v>Rogue</v>
          </cell>
          <cell r="F18" t="str">
            <v>Common</v>
          </cell>
          <cell r="G18" t="str">
            <v>Shapechanger</v>
          </cell>
          <cell r="K18">
            <v>0.5</v>
          </cell>
          <cell r="L18" t="str">
            <v>Skill Bonuses:
  +2 bluff, intimidate and sense motive;
Saving Throw Bonuses:  +2 vs sleep and charm effects;
Natural Linguist:  speak language is considered a class skill for all 
  changelings;
Minor Change Shape (su):  changelings possess the ability t</v>
          </cell>
          <cell r="M18" t="str">
            <v xml:space="preserve">Skill Bonuses:
</v>
          </cell>
          <cell r="N18" t="str">
            <v xml:space="preserve">  +2 bluff, intimidate and sense motive;
</v>
          </cell>
          <cell r="O18" t="str">
            <v xml:space="preserve">Saving Throw Bonuses:  +2 vs sleep and charm effects;
</v>
          </cell>
          <cell r="P18" t="str">
            <v xml:space="preserve">Natural Linguist:  speak language is considered a class skill for all 
  changelings;
</v>
          </cell>
          <cell r="Q18" t="str">
            <v xml:space="preserve">Minor Change Shape (su):  changelings possess the ability to alter 
  their appearance using a disguise self spell.  Grants a +10 bonus to
  disguise checks when used in conjunction with the skill;
</v>
          </cell>
          <cell r="AK18" t="str">
            <v>Changeling</v>
          </cell>
          <cell r="AL18" t="str">
            <v xml:space="preserve"> </v>
          </cell>
          <cell r="AO18">
            <v>2</v>
          </cell>
          <cell r="BD18">
            <v>2</v>
          </cell>
          <cell r="BY18">
            <v>2</v>
          </cell>
        </row>
        <row r="19">
          <cell r="A19" t="str">
            <v>Kender</v>
          </cell>
          <cell r="B19">
            <v>1</v>
          </cell>
          <cell r="C19">
            <v>20</v>
          </cell>
          <cell r="D19">
            <v>0</v>
          </cell>
          <cell r="E19" t="str">
            <v>Handler</v>
          </cell>
          <cell r="F19" t="str">
            <v>Common, Kenderspeak</v>
          </cell>
          <cell r="G19" t="str">
            <v>Humanoid</v>
          </cell>
          <cell r="K19">
            <v>0.5</v>
          </cell>
          <cell r="L19" t="str">
            <v xml:space="preserve">Saving Throw Bonuses:
   +1 on all saving throws;
Skill Bonuses:
   +2 to Spot, Open Lock, and Slight of Hand checks;
   -4 to Concentration checks;
   +4 to Bluff check when taunting someone;
Immune to normal and magical fear;
</v>
          </cell>
          <cell r="M19" t="str">
            <v xml:space="preserve">Saving Throw Bonuses:
</v>
          </cell>
          <cell r="N19" t="str">
            <v xml:space="preserve">   +1 on all saving throws;
</v>
          </cell>
          <cell r="O19" t="str">
            <v xml:space="preserve">Skill Bonuses:
</v>
          </cell>
          <cell r="P19" t="str">
            <v xml:space="preserve">   +2 to Spot, Open Lock, and Slight of Hand checks;
   -4 to Concentration checks;
   +4 to Bluff check when taunting someone;
</v>
          </cell>
          <cell r="Q19" t="str">
            <v xml:space="preserve">Immune to normal and magical fear;
</v>
          </cell>
          <cell r="AE19">
            <v>-2</v>
          </cell>
          <cell r="AF19">
            <v>2</v>
          </cell>
          <cell r="AI19">
            <v>-2</v>
          </cell>
          <cell r="AK19" t="str">
            <v>Kender</v>
          </cell>
          <cell r="AL19" t="str">
            <v xml:space="preserve"> </v>
          </cell>
          <cell r="AO19">
            <v>4</v>
          </cell>
          <cell r="AQ19">
            <v>-4</v>
          </cell>
          <cell r="BS19">
            <v>2</v>
          </cell>
          <cell r="BZ19">
            <v>2</v>
          </cell>
          <cell r="CC19">
            <v>2</v>
          </cell>
        </row>
        <row r="20">
          <cell r="A20" t="str">
            <v>Kalashtar</v>
          </cell>
          <cell r="B20">
            <v>2</v>
          </cell>
          <cell r="C20">
            <v>30</v>
          </cell>
          <cell r="D20">
            <v>0</v>
          </cell>
          <cell r="E20" t="str">
            <v>Psion</v>
          </cell>
          <cell r="F20" t="str">
            <v>Common, Quor</v>
          </cell>
          <cell r="G20" t="str">
            <v>Humanoid</v>
          </cell>
          <cell r="I20">
            <v>5</v>
          </cell>
          <cell r="K20">
            <v>0.5</v>
          </cell>
          <cell r="L20" t="str">
            <v>Saving Throw Bonuses:
  +2 vs mind-effecting spells and abilities, and possession;
Skill Bonuses:
   +2 to Bluff, Diplomacy and Intimidate checks;
   +2 to Disguise checks when trying to impersonate a human;
Dreamless:  kalashtars sleep, but do not dream,</v>
          </cell>
          <cell r="M20" t="str">
            <v xml:space="preserve">Saving Throw Bonuses:
</v>
          </cell>
          <cell r="N20" t="str">
            <v xml:space="preserve">  +2 vs mind-effecting spells and abilities, and possession;
</v>
          </cell>
          <cell r="O20" t="str">
            <v xml:space="preserve">Skill Bonuses:
</v>
          </cell>
          <cell r="P20" t="str">
            <v xml:space="preserve">   +2 to Bluff, Diplomacy and Intimidate checks;
   +2 to Disguise checks when trying to impersonate a human;
</v>
          </cell>
          <cell r="Q20" t="str">
            <v xml:space="preserve">Dreamless:  kalashtars sleep, but do not dream, giving them immunity 
  to dream and nightmare spells;
</v>
          </cell>
          <cell r="R20" t="str">
            <v xml:space="preserve">Naturally Psionic:  kalasthar gain 1 power point per character level, 
  regardless of class;
</v>
          </cell>
          <cell r="S20" t="str">
            <v xml:space="preserve">Psi-Like Ability:  mindlink 1/day as cast by a 2nd level caster;
</v>
          </cell>
          <cell r="AK20" t="str">
            <v>Kalashtar</v>
          </cell>
          <cell r="AL20" t="str">
            <v xml:space="preserve"> </v>
          </cell>
          <cell r="AO20">
            <v>2</v>
          </cell>
          <cell r="AU20">
            <v>2</v>
          </cell>
          <cell r="BD20">
            <v>2</v>
          </cell>
        </row>
        <row r="21">
          <cell r="A21" t="str">
            <v>Shifter</v>
          </cell>
          <cell r="B21">
            <v>2</v>
          </cell>
          <cell r="C21">
            <v>30</v>
          </cell>
          <cell r="D21">
            <v>1</v>
          </cell>
          <cell r="E21" t="str">
            <v>Ranger</v>
          </cell>
          <cell r="F21" t="str">
            <v>Common</v>
          </cell>
          <cell r="G21" t="str">
            <v>Shapechanger</v>
          </cell>
          <cell r="K21">
            <v>0.5</v>
          </cell>
          <cell r="L21" t="str">
            <v xml:space="preserve">Skill Bonuses:
   +2 to Balance, Climb and Jump checks;
Shifting (su):  may shift once per day and gain minor lycanthropic 
  abilities and bonuses;
</v>
          </cell>
          <cell r="M21" t="str">
            <v xml:space="preserve">Skill Bonuses:
</v>
          </cell>
          <cell r="N21" t="str">
            <v xml:space="preserve">   +2 to Balance, Climb and Jump checks;
</v>
          </cell>
          <cell r="O21" t="str">
            <v xml:space="preserve">Shifting (su):  may shift once per day and gain minor lycanthropic 
  abilities and bonuses;
</v>
          </cell>
          <cell r="AF21">
            <v>2</v>
          </cell>
          <cell r="AH21">
            <v>-2</v>
          </cell>
          <cell r="AJ21">
            <v>-2</v>
          </cell>
          <cell r="AK21" t="str">
            <v>Shifter</v>
          </cell>
          <cell r="AL21" t="str">
            <v xml:space="preserve"> </v>
          </cell>
          <cell r="AN21">
            <v>2</v>
          </cell>
          <cell r="AP21">
            <v>2</v>
          </cell>
          <cell r="BE21">
            <v>2</v>
          </cell>
        </row>
        <row r="22">
          <cell r="A22" t="str">
            <v>Warforged</v>
          </cell>
          <cell r="B22">
            <v>2</v>
          </cell>
          <cell r="C22">
            <v>30</v>
          </cell>
          <cell r="D22">
            <v>0</v>
          </cell>
          <cell r="E22" t="str">
            <v>Fighter</v>
          </cell>
          <cell r="F22" t="str">
            <v>Common</v>
          </cell>
          <cell r="G22" t="str">
            <v>Living Construct</v>
          </cell>
          <cell r="K22">
            <v>0.5</v>
          </cell>
          <cell r="L22" t="str">
            <v xml:space="preserve">Living Contruct Subtype:
  Immunity to poison and disease;
  Immunity to sleep effects and paralysis
  Immunity nausea and energy drain;
  Immunity to fatigue and exhaustion;
  Cannot heal damage naturally, but is effects by curative magic;
  A warforged </v>
          </cell>
          <cell r="M22" t="str">
            <v xml:space="preserve">Living Contruct Subtype:
</v>
          </cell>
          <cell r="N22" t="str">
            <v xml:space="preserve">  Immunity to poison and disease;
  Immunity to sleep effects and paralysis
  Immunity nausea and energy drain;
  Immunity to fatigue and exhaustion;
</v>
          </cell>
          <cell r="O22" t="str">
            <v xml:space="preserve">  Cannot heal damage naturally, but is effects by curative magic;
</v>
          </cell>
          <cell r="P22" t="str">
            <v xml:space="preserve">  A warforged that reaches 0 hit points is disabled, and does not risk 
    further injury when taking strenuous action and does not lose 
    additional hit point damage unless dealt to him as with a stablized
    living creature;
</v>
          </cell>
          <cell r="Q22" t="str">
            <v xml:space="preserve">  A warforged does not need to eat, sleep, drink or breathe;
</v>
          </cell>
          <cell r="R22" t="str">
            <v xml:space="preserve">Composite Plating:  the plating used to create a warforged provides 
  a +2 armor bonus and 5% arcane spell failure.  This may be 
  improved via the warforged feats; adamantine and mithril body;
</v>
          </cell>
          <cell r="S22" t="str">
            <v xml:space="preserve">Light Fortification (ex):  any critical hit or sneak attack against a 
  warforged has a 25% chance of being negated and damage being 
  rolled normally;
</v>
          </cell>
          <cell r="T22" t="str">
            <v xml:space="preserve">Natural Weapons:  Slam (1d4 damage);
</v>
          </cell>
          <cell r="AG22">
            <v>2</v>
          </cell>
          <cell r="AI22">
            <v>-2</v>
          </cell>
          <cell r="AJ22">
            <v>-2</v>
          </cell>
          <cell r="AK22" t="str">
            <v>Warforged</v>
          </cell>
          <cell r="AL22" t="str">
            <v xml:space="preserve"> </v>
          </cell>
        </row>
        <row r="23">
          <cell r="A23" t="str">
            <v>-- Subraces --</v>
          </cell>
          <cell r="AA23" t="str">
            <v xml:space="preserve">
</v>
          </cell>
          <cell r="AK23" t="str">
            <v>-- Subraces --</v>
          </cell>
          <cell r="AL23" t="str">
            <v xml:space="preserve"> </v>
          </cell>
        </row>
        <row r="24">
          <cell r="A24" t="str">
            <v>Dwarf (Deep)</v>
          </cell>
          <cell r="B24">
            <v>2</v>
          </cell>
          <cell r="C24">
            <v>30</v>
          </cell>
          <cell r="D24">
            <v>4</v>
          </cell>
          <cell r="E24" t="str">
            <v>Fighter</v>
          </cell>
          <cell r="F24" t="str">
            <v>Common, Dwarven</v>
          </cell>
          <cell r="G24" t="str">
            <v>Humanoid</v>
          </cell>
          <cell r="K24">
            <v>0.5</v>
          </cell>
          <cell r="L24" t="str">
            <v xml:space="preserve">Saving Throw Bonuses:
   +3 to Fortitude saves vs poison;
   +3 to Will saves vs spells/spell-like effects;
Combat Bonuses:
   +4 dodge bonus to AC vs giants;
   +1 to attacks vs orcs and goblinoids;
Skill Bonuses:
   +2 to Appraise rare/exotic items;
   </v>
          </cell>
          <cell r="M24" t="str">
            <v xml:space="preserve">Saving Throw Bonuses:
</v>
          </cell>
          <cell r="N24" t="str">
            <v xml:space="preserve">   +3 to Fortitude saves vs poison;
</v>
          </cell>
          <cell r="O24" t="str">
            <v xml:space="preserve">   +3 to Will saves vs spells/spell-like effects;
</v>
          </cell>
          <cell r="P24" t="str">
            <v xml:space="preserve">Combat Bonuses:
</v>
          </cell>
          <cell r="Q24" t="str">
            <v xml:space="preserve">   +4 dodge bonus to AC vs giants;
</v>
          </cell>
          <cell r="R24" t="str">
            <v xml:space="preserve">   +1 to attacks vs orcs and goblinoids;
</v>
          </cell>
          <cell r="S24" t="str">
            <v xml:space="preserve">Skill Bonuses:
</v>
          </cell>
          <cell r="T24" t="str">
            <v xml:space="preserve">   +2 to Appraise rare/exotic items;
</v>
          </cell>
          <cell r="U24" t="str">
            <v xml:space="preserve">   +2 to Craft stone/metal objects;
</v>
          </cell>
          <cell r="V24" t="str">
            <v xml:space="preserve">Stonecunning: +2 to notice unusual stonework, automatic check 
  within 10'; sense approximate depth underground;
</v>
          </cell>
          <cell r="W24" t="str">
            <v xml:space="preserve">Light Sensitivity (Ex): -1 circumstance penalty to attack rolls in bright 
  sunlight or within a Daylight spell;
</v>
          </cell>
          <cell r="AA24" t="str">
            <v xml:space="preserve">
</v>
          </cell>
          <cell r="AG24">
            <v>2</v>
          </cell>
          <cell r="AJ24">
            <v>-4</v>
          </cell>
          <cell r="AK24" t="str">
            <v>Dwarf (Deep)</v>
          </cell>
          <cell r="AL24" t="str">
            <v xml:space="preserve"> </v>
          </cell>
        </row>
        <row r="25">
          <cell r="A25" t="str">
            <v>Dwarf (Derro)</v>
          </cell>
          <cell r="B25">
            <v>2</v>
          </cell>
          <cell r="C25">
            <v>30</v>
          </cell>
          <cell r="D25">
            <v>3</v>
          </cell>
          <cell r="E25" t="str">
            <v>Fighter</v>
          </cell>
          <cell r="F25" t="str">
            <v>Common, Dwarven</v>
          </cell>
          <cell r="G25" t="str">
            <v>Humanoid</v>
          </cell>
          <cell r="K25">
            <v>1</v>
          </cell>
          <cell r="L25" t="str">
            <v xml:space="preserve">Saving Throw Bonuses:
   +2 to Fortitude saves vs poison;
   +2 to Will saves vs spells/spell-like effects;
Combat Bonuses:
   +4 dodge bonus to AC vs giants;
   +1 to attacks vs orcs and goblinoids;
Skill Bonuses:
   +2 to Appraise rare/exotic items;
   </v>
          </cell>
          <cell r="M25" t="str">
            <v xml:space="preserve">Saving Throw Bonuses:
</v>
          </cell>
          <cell r="N25" t="str">
            <v xml:space="preserve">   +2 to Fortitude saves vs poison;
</v>
          </cell>
          <cell r="O25" t="str">
            <v xml:space="preserve">   +2 to Will saves vs spells/spell-like effects;
</v>
          </cell>
          <cell r="P25" t="str">
            <v xml:space="preserve">Combat Bonuses:
</v>
          </cell>
          <cell r="Q25" t="str">
            <v xml:space="preserve">   +4 dodge bonus to AC vs giants;
</v>
          </cell>
          <cell r="R25" t="str">
            <v xml:space="preserve">   +1 to attacks vs orcs and goblinoids;
</v>
          </cell>
          <cell r="S25" t="str">
            <v xml:space="preserve">Skill Bonuses:
</v>
          </cell>
          <cell r="T25" t="str">
            <v xml:space="preserve">   +2 to Appraise rare/exotic items;
</v>
          </cell>
          <cell r="U25" t="str">
            <v xml:space="preserve">   +2 to Craft stone/metal objects;
</v>
          </cell>
          <cell r="V25" t="str">
            <v xml:space="preserve">Stonecunning: +2 to notice unusual stonework, automatic check 
  within 10'; sense approximate depth underground;
</v>
          </cell>
          <cell r="W25" t="str">
            <v xml:space="preserve">Spell Resistance 18;
</v>
          </cell>
          <cell r="X25" t="str">
            <v xml:space="preserve">Sunlight Vulnerability (Ex): suffers 1 point of temporary Constitution 
  damage per hour in sunlight, recoverable when not in sunlight;
</v>
          </cell>
          <cell r="AA25" t="str">
            <v xml:space="preserve">
</v>
          </cell>
          <cell r="AB25" t="str">
            <v>Blind-Fight</v>
          </cell>
          <cell r="AE25">
            <v>-2</v>
          </cell>
          <cell r="AF25">
            <v>4</v>
          </cell>
          <cell r="AG25">
            <v>2</v>
          </cell>
          <cell r="AJ25">
            <v>-4</v>
          </cell>
          <cell r="AK25" t="str">
            <v>Dwarf (Derro)</v>
          </cell>
          <cell r="AL25" t="str">
            <v xml:space="preserve"> </v>
          </cell>
        </row>
        <row r="26">
          <cell r="A26" t="str">
            <v>Dwarf (Duergar)</v>
          </cell>
          <cell r="B26">
            <v>2</v>
          </cell>
          <cell r="C26">
            <v>30</v>
          </cell>
          <cell r="D26">
            <v>5</v>
          </cell>
          <cell r="E26" t="str">
            <v>Fighter</v>
          </cell>
          <cell r="F26" t="str">
            <v>Common, Dwarven</v>
          </cell>
          <cell r="G26" t="str">
            <v>Humanoid</v>
          </cell>
          <cell r="K26">
            <v>1</v>
          </cell>
          <cell r="L26" t="str">
            <v xml:space="preserve">Saving Throw Bonuses:
   +2 to Fortitude saves vs poison;
   +2 to Will saves vs spells/spell-like effects;
Combat Bonuses:
   +4 dodge bonus to AC vs giants;
   +1 to attacks vs orcs and goblinoids;
Skill Bonuses:
   +2 to Appraise rare/exotic items;
   </v>
          </cell>
          <cell r="M26" t="str">
            <v xml:space="preserve">Saving Throw Bonuses:
</v>
          </cell>
          <cell r="N26" t="str">
            <v xml:space="preserve">   +2 to Fortitude saves vs poison;
</v>
          </cell>
          <cell r="O26" t="str">
            <v xml:space="preserve">   +2 to Will saves vs spells/spell-like effects;
</v>
          </cell>
          <cell r="P26" t="str">
            <v xml:space="preserve">Combat Bonuses:
</v>
          </cell>
          <cell r="Q26" t="str">
            <v xml:space="preserve">   +4 dodge bonus to AC vs giants;
</v>
          </cell>
          <cell r="R26" t="str">
            <v xml:space="preserve">   +1 to attacks vs orcs and goblinoids;
</v>
          </cell>
          <cell r="S26" t="str">
            <v xml:space="preserve">Skill Bonuses:
</v>
          </cell>
          <cell r="T26" t="str">
            <v xml:space="preserve">   +2 to Appraise rare/exotic items;
</v>
          </cell>
          <cell r="U26" t="str">
            <v xml:space="preserve">   +2 to Craft stone/metal objects;
</v>
          </cell>
          <cell r="V26" t="str">
            <v xml:space="preserve">   +1 to Listen and Spot checks;
</v>
          </cell>
          <cell r="W26" t="str">
            <v xml:space="preserve">   +4 to Move Silently checks;
</v>
          </cell>
          <cell r="X26" t="str">
            <v xml:space="preserve">Stonecunning: +2 to notice unusual stonework, automatic check 
  within 10'; sense approximate depth underground;
</v>
          </cell>
          <cell r="Y26" t="str">
            <v xml:space="preserve">Immune to paralysis, phantasms, and magical or alchemical 
  poisons (but not normal poisons);
</v>
          </cell>
          <cell r="Z26" t="str">
            <v xml:space="preserve">Spell-like Abilities: Enlarge and Invisibility, each once/day as a 
  5th level wizard castable only on him/herself;
</v>
          </cell>
          <cell r="AA26" t="str">
            <v xml:space="preserve">
</v>
          </cell>
          <cell r="AB26" t="str">
            <v>Alertness</v>
          </cell>
          <cell r="AG26">
            <v>2</v>
          </cell>
          <cell r="AJ26">
            <v>-4</v>
          </cell>
          <cell r="AK26" t="str">
            <v>Dwarf (Duergar)</v>
          </cell>
          <cell r="AL26" t="str">
            <v xml:space="preserve"> </v>
          </cell>
          <cell r="BQ26">
            <v>1</v>
          </cell>
          <cell r="BR26">
            <v>4</v>
          </cell>
          <cell r="CC26">
            <v>1</v>
          </cell>
        </row>
        <row r="27">
          <cell r="A27" t="str">
            <v>Dwarf (Gully)</v>
          </cell>
          <cell r="B27">
            <v>2</v>
          </cell>
          <cell r="C27">
            <v>20</v>
          </cell>
          <cell r="D27">
            <v>0</v>
          </cell>
          <cell r="E27" t="str">
            <v>Rogue</v>
          </cell>
          <cell r="F27" t="str">
            <v>Common, Gullytalk</v>
          </cell>
          <cell r="G27" t="str">
            <v>Humanoid</v>
          </cell>
          <cell r="K27">
            <v>0.5</v>
          </cell>
          <cell r="L27" t="str">
            <v xml:space="preserve">Saving Throw Bonuses:
   +2 to Fortitude saves vs poison and disease;
   +4 Diplomacy checks to convince an enemy not to harm them;
cowardly:  -4 penalty to saves vs fear or resist intimidate checks;
</v>
          </cell>
          <cell r="M27" t="str">
            <v xml:space="preserve">Saving Throw Bonuses:
</v>
          </cell>
          <cell r="N27" t="str">
            <v xml:space="preserve">   +2 to Fortitude saves vs poison and disease;
</v>
          </cell>
          <cell r="O27" t="str">
            <v xml:space="preserve">   +4 Diplomacy checks to convince an enemy not to harm them;
</v>
          </cell>
          <cell r="P27" t="str">
            <v xml:space="preserve">cowardly:  -4 penalty to saves vs fear or resist intimidate checks;
</v>
          </cell>
          <cell r="AA27" t="str">
            <v xml:space="preserve">
</v>
          </cell>
          <cell r="AF27">
            <v>2</v>
          </cell>
          <cell r="AG27">
            <v>2</v>
          </cell>
          <cell r="AH27">
            <v>-4</v>
          </cell>
          <cell r="AJ27">
            <v>-4</v>
          </cell>
          <cell r="AK27" t="str">
            <v>Dwarf (Gully)</v>
          </cell>
          <cell r="AL27" t="str">
            <v xml:space="preserve"> </v>
          </cell>
          <cell r="BC27">
            <v>2</v>
          </cell>
          <cell r="BR27">
            <v>2</v>
          </cell>
          <cell r="CD27">
            <v>2</v>
          </cell>
        </row>
        <row r="28">
          <cell r="A28" t="str">
            <v>Dwarf (Mountain)</v>
          </cell>
          <cell r="B28">
            <v>2</v>
          </cell>
          <cell r="C28">
            <v>30</v>
          </cell>
          <cell r="D28">
            <v>2</v>
          </cell>
          <cell r="E28" t="str">
            <v>Fighter</v>
          </cell>
          <cell r="F28" t="str">
            <v>Common, Dwarven</v>
          </cell>
          <cell r="G28" t="str">
            <v>Humanoid</v>
          </cell>
          <cell r="K28">
            <v>0.5</v>
          </cell>
          <cell r="L28" t="str">
            <v xml:space="preserve">Saving Throw Bonuses:
   +2 to Fortitude saves vs poison;
   +2 to Will saves vs spells/spell-like effects;
Combat Bonuses:
   +4 dodge bonus to AC vs giants;
   +1 to attacks vs orcs and goblinoids;
Skill Bonuses:
   +2 to Appraise rare/exotic items;
   </v>
          </cell>
          <cell r="M28" t="str">
            <v xml:space="preserve">Saving Throw Bonuses:
</v>
          </cell>
          <cell r="N28" t="str">
            <v xml:space="preserve">   +2 to Fortitude saves vs poison;
</v>
          </cell>
          <cell r="O28" t="str">
            <v xml:space="preserve">   +2 to Will saves vs spells/spell-like effects;
</v>
          </cell>
          <cell r="P28" t="str">
            <v xml:space="preserve">Combat Bonuses:
</v>
          </cell>
          <cell r="Q28" t="str">
            <v xml:space="preserve">   +4 dodge bonus to AC vs giants;
</v>
          </cell>
          <cell r="R28" t="str">
            <v xml:space="preserve">   +1 to attacks vs orcs and goblinoids;
</v>
          </cell>
          <cell r="S28" t="str">
            <v xml:space="preserve">Skill Bonuses:
</v>
          </cell>
          <cell r="T28" t="str">
            <v xml:space="preserve">   +2 to Appraise rare/exotic items;
</v>
          </cell>
          <cell r="U28" t="str">
            <v xml:space="preserve">   +2 to Craft stone/metal objects;
</v>
          </cell>
          <cell r="V28" t="str">
            <v xml:space="preserve">Stonecunning: +2 to notice unusual stonework, automatic
   check within 10'; sense approximate depth underground;
</v>
          </cell>
          <cell r="AA28" t="str">
            <v xml:space="preserve">
</v>
          </cell>
          <cell r="AG28">
            <v>2</v>
          </cell>
          <cell r="AJ28">
            <v>-2</v>
          </cell>
          <cell r="AK28" t="str">
            <v>Dwarf (Mountain)</v>
          </cell>
          <cell r="AL28" t="str">
            <v xml:space="preserve"> </v>
          </cell>
        </row>
        <row r="29">
          <cell r="A29" t="str">
            <v>Elf (Aquatic)</v>
          </cell>
          <cell r="B29">
            <v>2</v>
          </cell>
          <cell r="C29">
            <v>30</v>
          </cell>
          <cell r="D29">
            <v>1</v>
          </cell>
          <cell r="E29" t="str">
            <v>Fighter</v>
          </cell>
          <cell r="F29" t="str">
            <v>Common, Elven</v>
          </cell>
          <cell r="G29" t="str">
            <v>Humanoid</v>
          </cell>
          <cell r="K29">
            <v>0.5</v>
          </cell>
          <cell r="L29" t="str">
            <v>Saving Throw Bonuses:
   +2 to Will saves vs Enchantments;
Skill Bonuses:
   +2 to Listen, Search and Spot checks;
immune to magic sleep;
proficient with longsword or rapier;
proficient with shortbow or longbow;
automatic Search check for secret doors wit</v>
          </cell>
          <cell r="M29" t="str">
            <v xml:space="preserve">Saving Throw Bonuses:
</v>
          </cell>
          <cell r="N29" t="str">
            <v xml:space="preserve">   +2 to Will saves vs Enchantments;
</v>
          </cell>
          <cell r="O29" t="str">
            <v xml:space="preserve">Skill Bonuses:
</v>
          </cell>
          <cell r="P29" t="str">
            <v xml:space="preserve">   +2 to Listen, Search and Spot checks;
</v>
          </cell>
          <cell r="Q29" t="str">
            <v xml:space="preserve">immune to magic sleep;
</v>
          </cell>
          <cell r="R29" t="str">
            <v xml:space="preserve">proficient with longsword or rapier;
</v>
          </cell>
          <cell r="S29" t="str">
            <v xml:space="preserve">proficient with shortbow or longbow;
</v>
          </cell>
          <cell r="T29" t="str">
            <v xml:space="preserve">automatic Search check for secret doors within 5';
</v>
          </cell>
          <cell r="U29" t="str">
            <v xml:space="preserve">swim 40';
</v>
          </cell>
          <cell r="V29" t="str">
            <v xml:space="preserve">gills: can survive out of water for 12 hours;
</v>
          </cell>
          <cell r="W29" t="str">
            <v xml:space="preserve">improved low-light vision: can see four times as far as a
   human in conditions of low illumination;
</v>
          </cell>
          <cell r="AA29" t="str">
            <v xml:space="preserve">
</v>
          </cell>
          <cell r="AF29">
            <v>2</v>
          </cell>
          <cell r="AH29">
            <v>-2</v>
          </cell>
          <cell r="AK29" t="str">
            <v>Elf (Aquatic)</v>
          </cell>
          <cell r="AL29" t="str">
            <v xml:space="preserve"> </v>
          </cell>
          <cell r="BQ29">
            <v>2</v>
          </cell>
          <cell r="BX29">
            <v>2</v>
          </cell>
          <cell r="CC29">
            <v>2</v>
          </cell>
        </row>
        <row r="30">
          <cell r="A30" t="str">
            <v>Elf (Dargonesti)</v>
          </cell>
          <cell r="B30">
            <v>2</v>
          </cell>
          <cell r="C30">
            <v>30</v>
          </cell>
          <cell r="D30">
            <v>7</v>
          </cell>
          <cell r="E30" t="str">
            <v>Fighter</v>
          </cell>
          <cell r="F30" t="str">
            <v>Aquan, Dargonesti</v>
          </cell>
          <cell r="G30" t="str">
            <v>Humanoid</v>
          </cell>
          <cell r="K30">
            <v>1</v>
          </cell>
          <cell r="L30" t="str">
            <v>Saving Throw Bonuses:
   +2 to Will saves vs Enchantments;
Skill Bonuses:
   +2 to Listen, Search and Spot checks;
immune to magic sleep;
proficient with trident and longspear;
proficient with net;
never need make a swim check to swim maximum
    speed (3</v>
          </cell>
          <cell r="M30" t="str">
            <v xml:space="preserve">Saving Throw Bonuses:
</v>
          </cell>
          <cell r="N30" t="str">
            <v xml:space="preserve">   +2 to Will saves vs Enchantments;
</v>
          </cell>
          <cell r="O30" t="str">
            <v xml:space="preserve">Skill Bonuses:
</v>
          </cell>
          <cell r="P30" t="str">
            <v xml:space="preserve">   +2 to Listen, Search and Spot checks;
</v>
          </cell>
          <cell r="Q30" t="str">
            <v xml:space="preserve">immune to magic sleep;
</v>
          </cell>
          <cell r="R30" t="str">
            <v xml:space="preserve">proficient with trident and longspear;
</v>
          </cell>
          <cell r="S30" t="str">
            <v xml:space="preserve">proficient with net;
</v>
          </cell>
          <cell r="T30" t="str">
            <v xml:space="preserve">never need make a swim check to swim maximum
    speed (30').  If swim check is needed, racial +8;
</v>
          </cell>
          <cell r="U30" t="str">
            <v xml:space="preserve">breathe water;
</v>
          </cell>
          <cell r="V30" t="str">
            <v xml:space="preserve">sea-sense:  +2 bonus to note peculiarities about water;
</v>
          </cell>
          <cell r="W30" t="str">
            <v xml:space="preserve">spell-like abilities:  blur, dancing lights, darkness and
    obscuring mist 1/day;
</v>
          </cell>
          <cell r="X30" t="str">
            <v xml:space="preserve">alternate form:  can assume the form and properties of a
    porpoise 3/day;
</v>
          </cell>
          <cell r="Y30" t="str">
            <v xml:space="preserve">surface sensitivity:  suffers a -2 penalty to attack, saves
    and checks when out of water for more than 24 hours.;
    </v>
          </cell>
          <cell r="AE30">
            <v>2</v>
          </cell>
          <cell r="AF30">
            <v>2</v>
          </cell>
          <cell r="AJ30">
            <v>-2</v>
          </cell>
          <cell r="AK30" t="str">
            <v>Elf (Dargonesti)</v>
          </cell>
          <cell r="AL30" t="str">
            <v xml:space="preserve"> </v>
          </cell>
          <cell r="BQ30">
            <v>2</v>
          </cell>
          <cell r="BX30">
            <v>2</v>
          </cell>
          <cell r="CC30">
            <v>2</v>
          </cell>
        </row>
        <row r="31">
          <cell r="A31" t="str">
            <v>Elf (Dimernesti)</v>
          </cell>
          <cell r="B31">
            <v>2</v>
          </cell>
          <cell r="C31">
            <v>30</v>
          </cell>
          <cell r="D31">
            <v>7</v>
          </cell>
          <cell r="E31" t="str">
            <v>Barbarian</v>
          </cell>
          <cell r="F31" t="str">
            <v>Elven, Dimernesti</v>
          </cell>
          <cell r="G31" t="str">
            <v>Humanoid</v>
          </cell>
          <cell r="K31">
            <v>1</v>
          </cell>
          <cell r="L31" t="str">
            <v>Saving Throw Bonuses:
   +2 to Will saves vs Enchantments;
Skill Bonuses:
   +2 to Listen, Search and Spot checks;
immune to magic sleep;
proficient with trident and longspear;
proficient with net;
never need make a swim check to swim maximum
    speed (3</v>
          </cell>
          <cell r="M31" t="str">
            <v xml:space="preserve">Saving Throw Bonuses:
</v>
          </cell>
          <cell r="N31" t="str">
            <v xml:space="preserve">   +2 to Will saves vs Enchantments;
</v>
          </cell>
          <cell r="O31" t="str">
            <v xml:space="preserve">Skill Bonuses:
</v>
          </cell>
          <cell r="P31" t="str">
            <v xml:space="preserve">   +2 to Listen, Search and Spot checks;
</v>
          </cell>
          <cell r="Q31" t="str">
            <v xml:space="preserve">immune to magic sleep;
</v>
          </cell>
          <cell r="R31" t="str">
            <v xml:space="preserve">proficient with trident and longspear;
</v>
          </cell>
          <cell r="S31" t="str">
            <v xml:space="preserve">proficient with net;
</v>
          </cell>
          <cell r="T31" t="str">
            <v xml:space="preserve">never need make a swim check to swim maximum
    speed (30').  If swim check is needed, racial +8;
</v>
          </cell>
          <cell r="U31" t="str">
            <v xml:space="preserve">breathe water;
</v>
          </cell>
          <cell r="V31" t="str">
            <v xml:space="preserve">sea-sense:  +2 bonus to note peculiarities about water;
</v>
          </cell>
          <cell r="W31" t="str">
            <v xml:space="preserve">alternate form:  can assume the form and properties of an
    otter 3/day;
</v>
          </cell>
          <cell r="X31" t="str">
            <v xml:space="preserve">surface sensitivity:  suffers a -2 penalty to attack, saves
    and checks when out of water for more than 24 hours.;
    </v>
          </cell>
          <cell r="AF31">
            <v>2</v>
          </cell>
          <cell r="AH31">
            <v>2</v>
          </cell>
          <cell r="AI31">
            <v>-2</v>
          </cell>
          <cell r="AJ31">
            <v>-2</v>
          </cell>
          <cell r="AK31" t="str">
            <v>Elf (Dimernesti)</v>
          </cell>
          <cell r="AL31" t="str">
            <v xml:space="preserve"> </v>
          </cell>
          <cell r="BQ31">
            <v>2</v>
          </cell>
          <cell r="BX31">
            <v>2</v>
          </cell>
          <cell r="CC31">
            <v>2</v>
          </cell>
        </row>
        <row r="32">
          <cell r="A32" t="str">
            <v>Elf (Drow)</v>
          </cell>
          <cell r="B32">
            <v>2</v>
          </cell>
          <cell r="C32">
            <v>30</v>
          </cell>
          <cell r="D32">
            <v>5</v>
          </cell>
          <cell r="E32" t="str">
            <v>Wizard</v>
          </cell>
          <cell r="F32" t="str">
            <v>Common, Elven</v>
          </cell>
          <cell r="G32" t="str">
            <v>Humanoid</v>
          </cell>
          <cell r="K32">
            <v>1</v>
          </cell>
          <cell r="L32" t="str">
            <v>Saving Throw Bonuses:
   +2 to Will saves vs Enchantments;
   +2 to Will saves vs spells/spell-like effects;
Skill Bonuses:
   +2 to Listen, Search and Spot checks;
immune to magic sleep;
proficient with longsword or rapier;
proficient with shortbow or lo</v>
          </cell>
          <cell r="M32" t="str">
            <v xml:space="preserve">Saving Throw Bonuses:
</v>
          </cell>
          <cell r="N32" t="str">
            <v xml:space="preserve">   +2 to Will saves vs Enchantments;
</v>
          </cell>
          <cell r="O32" t="str">
            <v xml:space="preserve">   +2 to Will saves vs spells/spell-like effects;
</v>
          </cell>
          <cell r="P32" t="str">
            <v xml:space="preserve">Skill Bonuses:
</v>
          </cell>
          <cell r="Q32" t="str">
            <v xml:space="preserve">   +2 to Listen, Search and Spot checks;
</v>
          </cell>
          <cell r="R32" t="str">
            <v xml:space="preserve">immune to magic sleep;
</v>
          </cell>
          <cell r="S32" t="str">
            <v xml:space="preserve">proficient with longsword or rapier;
</v>
          </cell>
          <cell r="T32" t="str">
            <v xml:space="preserve">proficient with shortbow or longbow;
</v>
          </cell>
          <cell r="U32" t="str">
            <v xml:space="preserve">automatic Search check for secret doors within 5';
</v>
          </cell>
          <cell r="V32" t="str">
            <v xml:space="preserve">Spell Resistance 16;
</v>
          </cell>
          <cell r="W32" t="str">
            <v xml:space="preserve">Light Blindness (Ex): blinded for 1 round from abrupt exposure to 
  bright light; -1 circumstance penalty to attack rolls, saves, and 
  checks in bright light;
</v>
          </cell>
          <cell r="AA32" t="str">
            <v xml:space="preserve">
</v>
          </cell>
          <cell r="AF32">
            <v>2</v>
          </cell>
          <cell r="AG32">
            <v>-2</v>
          </cell>
          <cell r="AH32">
            <v>2</v>
          </cell>
          <cell r="AJ32">
            <v>-2</v>
          </cell>
          <cell r="AK32" t="str">
            <v>Elf (Drow)</v>
          </cell>
          <cell r="AL32" t="str">
            <v xml:space="preserve"> </v>
          </cell>
          <cell r="BQ32">
            <v>2</v>
          </cell>
          <cell r="BX32">
            <v>2</v>
          </cell>
          <cell r="CC32">
            <v>2</v>
          </cell>
        </row>
        <row r="33">
          <cell r="A33" t="str">
            <v>Elf (Kagonesti)</v>
          </cell>
          <cell r="B33">
            <v>2</v>
          </cell>
          <cell r="C33">
            <v>30</v>
          </cell>
          <cell r="D33">
            <v>7</v>
          </cell>
          <cell r="E33" t="str">
            <v>Ranger</v>
          </cell>
          <cell r="F33" t="str">
            <v>Elven, Sylvan</v>
          </cell>
          <cell r="G33" t="str">
            <v>Humanoid</v>
          </cell>
          <cell r="K33">
            <v>0.5</v>
          </cell>
          <cell r="L33" t="str">
            <v>Saving Throw Bonuses:
   +2 to Will saves vs Enchantments;
Skill Bonuses:
   +2 to Listen, Search and Spot checks;
   +1 knowledge (nature) and survival checks;
immune to magic sleep;
proficient with shortsword or longspear;
proficient with shortbow or lo</v>
          </cell>
          <cell r="M33" t="str">
            <v xml:space="preserve">Saving Throw Bonuses:
</v>
          </cell>
          <cell r="N33" t="str">
            <v xml:space="preserve">   +2 to Will saves vs Enchantments;
</v>
          </cell>
          <cell r="O33" t="str">
            <v xml:space="preserve">Skill Bonuses:
</v>
          </cell>
          <cell r="P33" t="str">
            <v xml:space="preserve">   +2 to Listen, Search and Spot checks;
</v>
          </cell>
          <cell r="Q33" t="str">
            <v xml:space="preserve">   +1 knowledge (nature) and survival checks;
</v>
          </cell>
          <cell r="R33" t="str">
            <v xml:space="preserve">immune to magic sleep;
</v>
          </cell>
          <cell r="S33" t="str">
            <v xml:space="preserve">proficient with shortsword or longspear;
</v>
          </cell>
          <cell r="T33" t="str">
            <v xml:space="preserve">proficient with shortbow or longbow;
</v>
          </cell>
          <cell r="U33" t="str">
            <v xml:space="preserve">automatic Search check for secret doors within 5';
</v>
          </cell>
          <cell r="AF33">
            <v>2</v>
          </cell>
          <cell r="AH33">
            <v>-2</v>
          </cell>
          <cell r="AJ33">
            <v>-2</v>
          </cell>
          <cell r="AK33" t="str">
            <v>Elf (Kagonesti)</v>
          </cell>
          <cell r="AL33" t="str">
            <v xml:space="preserve"> </v>
          </cell>
          <cell r="BL33">
            <v>1</v>
          </cell>
          <cell r="BQ33">
            <v>2</v>
          </cell>
          <cell r="BX33">
            <v>2</v>
          </cell>
          <cell r="CC33">
            <v>2</v>
          </cell>
          <cell r="CD33">
            <v>1</v>
          </cell>
        </row>
        <row r="34">
          <cell r="A34" t="str">
            <v>Elf (Qualinesti)</v>
          </cell>
          <cell r="B34">
            <v>2</v>
          </cell>
          <cell r="C34">
            <v>30</v>
          </cell>
          <cell r="D34">
            <v>7</v>
          </cell>
          <cell r="E34" t="str">
            <v>Wizard</v>
          </cell>
          <cell r="F34" t="str">
            <v>Common, Elven</v>
          </cell>
          <cell r="G34" t="str">
            <v>Humanoid</v>
          </cell>
          <cell r="K34">
            <v>0.5</v>
          </cell>
          <cell r="L34" t="str">
            <v>Saving Throw Bonuses:
   +2 to Will saves vs Enchantments;
Skill Bonuses:
   +2 to Listen, Search and Spot checks;
   +1 diplomacy and sense motive checks;
immune to magic sleep;
proficient with shortsword or longsword;
proficient with shortbow or longbow</v>
          </cell>
          <cell r="M34" t="str">
            <v xml:space="preserve">Saving Throw Bonuses:
</v>
          </cell>
          <cell r="N34" t="str">
            <v xml:space="preserve">   +2 to Will saves vs Enchantments;
</v>
          </cell>
          <cell r="O34" t="str">
            <v xml:space="preserve">Skill Bonuses:
</v>
          </cell>
          <cell r="P34" t="str">
            <v xml:space="preserve">   +2 to Listen, Search and Spot checks;
</v>
          </cell>
          <cell r="Q34" t="str">
            <v xml:space="preserve">   +1 diplomacy and sense motive checks;
</v>
          </cell>
          <cell r="R34" t="str">
            <v xml:space="preserve">immune to magic sleep;
</v>
          </cell>
          <cell r="S34" t="str">
            <v xml:space="preserve">proficient with shortsword or longsword;
</v>
          </cell>
          <cell r="T34" t="str">
            <v xml:space="preserve">proficient with shortbow or longbow;
</v>
          </cell>
          <cell r="U34" t="str">
            <v xml:space="preserve">automatic Search check for secret doors within 5';
</v>
          </cell>
          <cell r="AF34">
            <v>2</v>
          </cell>
          <cell r="AG34">
            <v>-2</v>
          </cell>
          <cell r="AK34" t="str">
            <v>Elf (Qualinesti)</v>
          </cell>
          <cell r="AL34" t="str">
            <v xml:space="preserve"> </v>
          </cell>
          <cell r="AU34">
            <v>1</v>
          </cell>
          <cell r="BQ34">
            <v>2</v>
          </cell>
          <cell r="BX34">
            <v>2</v>
          </cell>
          <cell r="BY34">
            <v>1</v>
          </cell>
          <cell r="CC34">
            <v>2</v>
          </cell>
        </row>
        <row r="35">
          <cell r="A35" t="str">
            <v>Elf (Silvanesti)</v>
          </cell>
          <cell r="B35">
            <v>2</v>
          </cell>
          <cell r="C35">
            <v>30</v>
          </cell>
          <cell r="D35">
            <v>7</v>
          </cell>
          <cell r="E35" t="str">
            <v>Wizard</v>
          </cell>
          <cell r="F35" t="str">
            <v>Elven</v>
          </cell>
          <cell r="G35" t="str">
            <v>Humanoid</v>
          </cell>
          <cell r="K35">
            <v>0.5</v>
          </cell>
          <cell r="L35" t="str">
            <v xml:space="preserve">Saving Throw Bonuses:
   +2 to Will saves vs Enchantments;
Skill Bonuses:
   +2 to Listen, Search and Spot checks;
   +1 knowledge (arcana) and spellcraft checks;
immune to magic sleep;
proficient with shortsword or longsword;
proficient with shortbow or </v>
          </cell>
          <cell r="M35" t="str">
            <v xml:space="preserve">Saving Throw Bonuses:
</v>
          </cell>
          <cell r="N35" t="str">
            <v xml:space="preserve">   +2 to Will saves vs Enchantments;
</v>
          </cell>
          <cell r="O35" t="str">
            <v xml:space="preserve">Skill Bonuses:
</v>
          </cell>
          <cell r="P35" t="str">
            <v xml:space="preserve">   +2 to Listen, Search and Spot checks;
</v>
          </cell>
          <cell r="Q35" t="str">
            <v xml:space="preserve">   +1 knowledge (arcana) and spellcraft checks;
</v>
          </cell>
          <cell r="R35" t="str">
            <v xml:space="preserve">immune to magic sleep;
</v>
          </cell>
          <cell r="S35" t="str">
            <v xml:space="preserve">proficient with shortsword or longsword;
</v>
          </cell>
          <cell r="T35" t="str">
            <v xml:space="preserve">proficient with shortbow or longbow;
</v>
          </cell>
          <cell r="U35" t="str">
            <v xml:space="preserve">automatic Search check for secret doors within 5';
</v>
          </cell>
          <cell r="AF35">
            <v>2</v>
          </cell>
          <cell r="AG35">
            <v>-2</v>
          </cell>
          <cell r="AH35">
            <v>2</v>
          </cell>
          <cell r="AJ35">
            <v>-2</v>
          </cell>
          <cell r="AK35" t="str">
            <v>Elf (Silvanesti)</v>
          </cell>
          <cell r="AL35" t="str">
            <v xml:space="preserve"> </v>
          </cell>
          <cell r="BF35">
            <v>1</v>
          </cell>
          <cell r="BQ35">
            <v>2</v>
          </cell>
          <cell r="BX35">
            <v>2</v>
          </cell>
          <cell r="CB35">
            <v>1</v>
          </cell>
          <cell r="CC35">
            <v>2</v>
          </cell>
        </row>
        <row r="36">
          <cell r="A36" t="str">
            <v>Elf (Grey)</v>
          </cell>
          <cell r="B36">
            <v>2</v>
          </cell>
          <cell r="C36">
            <v>30</v>
          </cell>
          <cell r="D36">
            <v>1</v>
          </cell>
          <cell r="E36" t="str">
            <v>Wizard</v>
          </cell>
          <cell r="F36" t="str">
            <v>Common, Elven</v>
          </cell>
          <cell r="G36" t="str">
            <v>Humanoid</v>
          </cell>
          <cell r="K36">
            <v>0.5</v>
          </cell>
          <cell r="L36" t="str">
            <v>Saving Throw Bonuses:
   +2 to Will saves vs Enchantments;
Skill Bonuses:
   +2 to Listen, Search and Spot checks;
immune to magic sleep;
proficient with longsword or rapier;
proficient with shortbow or longbow;
automatic Search check for secret doors wit</v>
          </cell>
          <cell r="M36" t="str">
            <v xml:space="preserve">Saving Throw Bonuses:
</v>
          </cell>
          <cell r="N36" t="str">
            <v xml:space="preserve">   +2 to Will saves vs Enchantments;
</v>
          </cell>
          <cell r="O36" t="str">
            <v xml:space="preserve">Skill Bonuses:
</v>
          </cell>
          <cell r="P36" t="str">
            <v xml:space="preserve">   +2 to Listen, Search and Spot checks;
</v>
          </cell>
          <cell r="Q36" t="str">
            <v xml:space="preserve">immune to magic sleep;
</v>
          </cell>
          <cell r="R36" t="str">
            <v xml:space="preserve">proficient with longsword or rapier;
</v>
          </cell>
          <cell r="S36" t="str">
            <v xml:space="preserve">proficient with shortbow or longbow;
</v>
          </cell>
          <cell r="T36" t="str">
            <v xml:space="preserve">automatic Search check for secret doors within 5';
</v>
          </cell>
          <cell r="AA36" t="str">
            <v xml:space="preserve">
</v>
          </cell>
          <cell r="AF36">
            <v>2</v>
          </cell>
          <cell r="AG36">
            <v>-2</v>
          </cell>
          <cell r="AH36">
            <v>2</v>
          </cell>
          <cell r="AJ36">
            <v>-2</v>
          </cell>
          <cell r="AK36" t="str">
            <v>Elf (Grey)</v>
          </cell>
          <cell r="AL36" t="str">
            <v xml:space="preserve"> </v>
          </cell>
          <cell r="BF36">
            <v>1</v>
          </cell>
          <cell r="BQ36">
            <v>2</v>
          </cell>
          <cell r="BX36">
            <v>2</v>
          </cell>
          <cell r="CB36">
            <v>1</v>
          </cell>
          <cell r="CC36">
            <v>2</v>
          </cell>
        </row>
        <row r="37">
          <cell r="A37" t="str">
            <v>Elf (Wild)</v>
          </cell>
          <cell r="B37">
            <v>2</v>
          </cell>
          <cell r="C37">
            <v>30</v>
          </cell>
          <cell r="D37">
            <v>1</v>
          </cell>
          <cell r="E37" t="str">
            <v>Sorcerer</v>
          </cell>
          <cell r="F37" t="str">
            <v>Common, Elven</v>
          </cell>
          <cell r="G37" t="str">
            <v>Humanoid</v>
          </cell>
          <cell r="K37">
            <v>0.5</v>
          </cell>
          <cell r="L37" t="str">
            <v>Saving Throw Bonuses:
   +2 to Will saves vs Enchantments;
Skill Bonuses:
   +2 to Listen, Search and Spot checks;
immune to magic sleep;
proficient with longsword or rapier;
proficient with shortbow or longbow;
automatic Search check for secret doors wit</v>
          </cell>
          <cell r="M37" t="str">
            <v xml:space="preserve">Saving Throw Bonuses:
</v>
          </cell>
          <cell r="N37" t="str">
            <v xml:space="preserve">   +2 to Will saves vs Enchantments;
</v>
          </cell>
          <cell r="O37" t="str">
            <v xml:space="preserve">Skill Bonuses:
</v>
          </cell>
          <cell r="P37" t="str">
            <v xml:space="preserve">   +2 to Listen, Search and Spot checks;
</v>
          </cell>
          <cell r="Q37" t="str">
            <v xml:space="preserve">immune to magic sleep;
</v>
          </cell>
          <cell r="R37" t="str">
            <v xml:space="preserve">proficient with longsword or rapier;
</v>
          </cell>
          <cell r="S37" t="str">
            <v xml:space="preserve">proficient with shortbow or longbow;
</v>
          </cell>
          <cell r="T37" t="str">
            <v xml:space="preserve">automatic Search check for secret doors within 5';
</v>
          </cell>
          <cell r="AA37" t="str">
            <v xml:space="preserve">
</v>
          </cell>
          <cell r="AF37">
            <v>2</v>
          </cell>
          <cell r="AH37">
            <v>-2</v>
          </cell>
          <cell r="AK37" t="str">
            <v>Elf (Wild)</v>
          </cell>
          <cell r="AL37" t="str">
            <v xml:space="preserve"> </v>
          </cell>
          <cell r="BQ37">
            <v>2</v>
          </cell>
          <cell r="BX37">
            <v>2</v>
          </cell>
          <cell r="CC37">
            <v>2</v>
          </cell>
        </row>
        <row r="38">
          <cell r="A38" t="str">
            <v>Elf (Wood)</v>
          </cell>
          <cell r="B38">
            <v>2</v>
          </cell>
          <cell r="C38">
            <v>30</v>
          </cell>
          <cell r="D38">
            <v>1</v>
          </cell>
          <cell r="E38" t="str">
            <v>Ranger</v>
          </cell>
          <cell r="F38" t="str">
            <v>Common, Elven</v>
          </cell>
          <cell r="G38" t="str">
            <v>Humanoid</v>
          </cell>
          <cell r="K38">
            <v>0.5</v>
          </cell>
          <cell r="L38" t="str">
            <v>Saving Throw Bonuses:
   +2 to Will saves vs Enchantments;
Skill Bonuses:
   +2 to Listen, Search and Spot checks;
immune to magic sleep;
proficient with longsword or rapier;
proficient with shortbow or longbow;
automatic Search check for secret doors wit</v>
          </cell>
          <cell r="M38" t="str">
            <v xml:space="preserve">Saving Throw Bonuses:
</v>
          </cell>
          <cell r="N38" t="str">
            <v xml:space="preserve">   +2 to Will saves vs Enchantments;
</v>
          </cell>
          <cell r="O38" t="str">
            <v xml:space="preserve">Skill Bonuses:
</v>
          </cell>
          <cell r="P38" t="str">
            <v xml:space="preserve">   +2 to Listen, Search and Spot checks;
</v>
          </cell>
          <cell r="Q38" t="str">
            <v xml:space="preserve">immune to magic sleep;
</v>
          </cell>
          <cell r="R38" t="str">
            <v xml:space="preserve">proficient with longsword or rapier;
</v>
          </cell>
          <cell r="S38" t="str">
            <v xml:space="preserve">proficient with shortbow or longbow;
</v>
          </cell>
          <cell r="T38" t="str">
            <v xml:space="preserve">automatic Search check for secret doors within 5';
</v>
          </cell>
          <cell r="AA38" t="str">
            <v xml:space="preserve">
</v>
          </cell>
          <cell r="AE38">
            <v>2</v>
          </cell>
          <cell r="AF38">
            <v>2</v>
          </cell>
          <cell r="AG38">
            <v>-2</v>
          </cell>
          <cell r="AH38">
            <v>-2</v>
          </cell>
          <cell r="AJ38">
            <v>-2</v>
          </cell>
          <cell r="AK38" t="str">
            <v>Elf (Wood)</v>
          </cell>
          <cell r="AL38" t="str">
            <v xml:space="preserve"> </v>
          </cell>
          <cell r="BQ38">
            <v>2</v>
          </cell>
          <cell r="BX38">
            <v>2</v>
          </cell>
          <cell r="CC38">
            <v>2</v>
          </cell>
        </row>
        <row r="39">
          <cell r="A39" t="str">
            <v>Gnome (Svirfneblin)</v>
          </cell>
          <cell r="B39">
            <v>1</v>
          </cell>
          <cell r="C39">
            <v>20</v>
          </cell>
          <cell r="D39">
            <v>5</v>
          </cell>
          <cell r="E39" t="str">
            <v>Illusionist</v>
          </cell>
          <cell r="F39" t="str">
            <v>Common, Gnome, Terran, Undercommon.</v>
          </cell>
          <cell r="G39" t="str">
            <v>Humanoid</v>
          </cell>
          <cell r="K39">
            <v>1</v>
          </cell>
          <cell r="L39" t="e">
            <v>#REF!</v>
          </cell>
          <cell r="M39" t="str">
            <v xml:space="preserve">Saving Throw Bonuses:
</v>
          </cell>
          <cell r="N39" t="str">
            <v xml:space="preserve">   +2 to all saving throws;
</v>
          </cell>
          <cell r="O39" t="str">
            <v xml:space="preserve">Combat Bonuses:
</v>
          </cell>
          <cell r="P39" t="str">
            <v xml:space="preserve">   +4 dodge bonus to AC vs all creatures;
</v>
          </cell>
          <cell r="Q39" t="str">
            <v xml:space="preserve">   +1 to attacks vs kobolds and goblinoids;
</v>
          </cell>
          <cell r="R39" t="str">
            <v xml:space="preserve">Skill Bonuses:
</v>
          </cell>
          <cell r="S39" t="str">
            <v xml:space="preserve">   +2 to Alchemy checks;
</v>
          </cell>
          <cell r="T39" t="str">
            <v xml:space="preserve">   +2 to Hide checks, +4 in dark areas;
</v>
          </cell>
          <cell r="U39" t="str">
            <v xml:space="preserve">   +2 to Listen checks;
</v>
          </cell>
          <cell r="V39" t="str">
            <v xml:space="preserve">Spell Resistance 16;
</v>
          </cell>
          <cell r="W39" t="str">
            <v xml:space="preserve">Stonecunning: +2 to notice unusual stonework, automatic check 
  within 10'; sense approximate depth underground;
</v>
          </cell>
          <cell r="X39" t="str">
            <v xml:space="preserve">Non-detection (Su): continuous protection from divination and 
  detection, as the spell
</v>
          </cell>
          <cell r="Y39" t="e">
            <v>#REF!</v>
          </cell>
          <cell r="AA39" t="str">
            <v xml:space="preserve">
</v>
          </cell>
          <cell r="AE39">
            <v>-2</v>
          </cell>
          <cell r="AF39">
            <v>2</v>
          </cell>
          <cell r="AI39">
            <v>2</v>
          </cell>
          <cell r="AJ39">
            <v>-4</v>
          </cell>
          <cell r="AK39" t="str">
            <v>Gnome (Svirfneblin)</v>
          </cell>
          <cell r="AL39" t="str">
            <v xml:space="preserve"> </v>
          </cell>
          <cell r="BC39">
            <v>4</v>
          </cell>
          <cell r="BQ39">
            <v>2</v>
          </cell>
        </row>
        <row r="40">
          <cell r="A40" t="str">
            <v>Gnome (Forest)</v>
          </cell>
          <cell r="B40">
            <v>1</v>
          </cell>
          <cell r="C40">
            <v>20</v>
          </cell>
          <cell r="D40">
            <v>1</v>
          </cell>
          <cell r="E40" t="str">
            <v>Illusionist</v>
          </cell>
          <cell r="F40" t="str">
            <v>Common, Elf, Gnome, Sylvan, Animal*</v>
          </cell>
          <cell r="G40" t="str">
            <v>Humanoid</v>
          </cell>
          <cell r="K40">
            <v>0.5</v>
          </cell>
          <cell r="L40" t="str">
            <v xml:space="preserve">Saving Throw Bonuses:
   +2 to saves vs Illusions;
Combat Bonuses:
   +4 dodge bonus to AC vs giants;
   +1 to attacks vs kobolds, goblinoids, orcs and reptilian humanoids;
Skill Bonuses:
   +2 to Alchemy checks;
   +4 to Hide checks, +8 in wooded areas;
</v>
          </cell>
          <cell r="M40" t="str">
            <v xml:space="preserve">Saving Throw Bonuses:
</v>
          </cell>
          <cell r="N40" t="str">
            <v xml:space="preserve">   +2 to saves vs Illusions;
</v>
          </cell>
          <cell r="O40" t="str">
            <v xml:space="preserve">Combat Bonuses:
</v>
          </cell>
          <cell r="P40" t="str">
            <v xml:space="preserve">   +4 dodge bonus to AC vs giants;
</v>
          </cell>
          <cell r="Q40" t="str">
            <v xml:space="preserve">   +1 to attacks vs kobolds, goblinoids, orcs and reptilian humanoids;
</v>
          </cell>
          <cell r="R40" t="str">
            <v xml:space="preserve">Skill Bonuses:
</v>
          </cell>
          <cell r="S40" t="str">
            <v xml:space="preserve">   +2 to Alchemy checks;
</v>
          </cell>
          <cell r="T40" t="str">
            <v xml:space="preserve">   +4 to Hide checks, +8 in wooded areas;
</v>
          </cell>
          <cell r="U40" t="str">
            <v xml:space="preserve">   +2 to Listen checks;
</v>
          </cell>
          <cell r="V40" t="str">
            <v xml:space="preserve">Spell-like Abilities: Dancing Lights, Ghost Sound and 
  Prestidigitation, each once/day as a 1st level caster
</v>
          </cell>
          <cell r="W40" t="str">
            <v xml:space="preserve">Pass Without Trace: moves through any terrain without leaving 
  footprints or scent, as the spell
</v>
          </cell>
          <cell r="AA40" t="str">
            <v xml:space="preserve">
</v>
          </cell>
          <cell r="AE40">
            <v>-2</v>
          </cell>
          <cell r="AG40">
            <v>2</v>
          </cell>
          <cell r="AK40" t="str">
            <v>Gnome (Forest)</v>
          </cell>
          <cell r="AL40" t="str">
            <v xml:space="preserve"> </v>
          </cell>
          <cell r="BC40">
            <v>4</v>
          </cell>
          <cell r="BQ40">
            <v>2</v>
          </cell>
        </row>
        <row r="41">
          <cell r="A41" t="str">
            <v>Gnome (Tinker)</v>
          </cell>
          <cell r="B41">
            <v>1</v>
          </cell>
          <cell r="C41">
            <v>20</v>
          </cell>
          <cell r="D41">
            <v>0</v>
          </cell>
          <cell r="E41" t="str">
            <v>Any</v>
          </cell>
          <cell r="F41" t="str">
            <v>Common, Gnome</v>
          </cell>
          <cell r="G41" t="str">
            <v>Humanoid</v>
          </cell>
          <cell r="K41">
            <v>0.5</v>
          </cell>
          <cell r="L41" t="str">
            <v xml:space="preserve">Skill Bonuses:
   +2 to Craft (Alchemy) checks;
Saving Throw Bonuses:
   +2 to all Will saves;
first class taken is character's favored class:
guild affiliation:  guild affiliation allows +2 on either all craft,
    profession, or knowledge skills;
</v>
          </cell>
          <cell r="M41" t="str">
            <v xml:space="preserve">Skill Bonuses:
</v>
          </cell>
          <cell r="N41" t="str">
            <v xml:space="preserve">   +2 to Craft (Alchemy) checks;
</v>
          </cell>
          <cell r="O41" t="str">
            <v xml:space="preserve">Saving Throw Bonuses:
</v>
          </cell>
          <cell r="P41" t="str">
            <v xml:space="preserve">   +2 to all Will saves;
</v>
          </cell>
          <cell r="Q41" t="str">
            <v xml:space="preserve">first class taken is character's favored class:
</v>
          </cell>
          <cell r="R41" t="str">
            <v xml:space="preserve">guild affiliation:  guild affiliation allows +2 on either all craft,
    profession, or knowledge skills;
</v>
          </cell>
          <cell r="AE41">
            <v>-2</v>
          </cell>
          <cell r="AF41">
            <v>2</v>
          </cell>
          <cell r="AH41">
            <v>2</v>
          </cell>
          <cell r="AI41">
            <v>-2</v>
          </cell>
          <cell r="AK41" t="str">
            <v>Gnome (Tinker)</v>
          </cell>
          <cell r="AL41" t="str">
            <v xml:space="preserve"> </v>
          </cell>
          <cell r="AS41">
            <v>2</v>
          </cell>
        </row>
        <row r="42">
          <cell r="A42" t="str">
            <v>Halfling (Tallfellow)</v>
          </cell>
          <cell r="B42">
            <v>1</v>
          </cell>
          <cell r="C42">
            <v>20</v>
          </cell>
          <cell r="D42">
            <v>0</v>
          </cell>
          <cell r="E42" t="str">
            <v>Rogue</v>
          </cell>
          <cell r="F42" t="str">
            <v>Common, Halfling</v>
          </cell>
          <cell r="G42" t="str">
            <v>Humanoid</v>
          </cell>
          <cell r="K42">
            <v>0.5</v>
          </cell>
          <cell r="L42" t="str">
            <v xml:space="preserve">Saving Throw Bonuses:
   +1 to all saving throws;
   +2 morale bonus to saves vs fear;
Combat Bonuses:
   +1 to attacks with thrown weapons;
Skill Bonuses:
   +2 to Listen, Search and Spot checks;
automatic Search check for secret doors within 5';
</v>
          </cell>
          <cell r="M42" t="str">
            <v xml:space="preserve">Saving Throw Bonuses:
</v>
          </cell>
          <cell r="N42" t="str">
            <v xml:space="preserve">   +1 to all saving throws;
</v>
          </cell>
          <cell r="O42" t="str">
            <v xml:space="preserve">   +2 morale bonus to saves vs fear;
</v>
          </cell>
          <cell r="P42" t="str">
            <v xml:space="preserve">Combat Bonuses:
</v>
          </cell>
          <cell r="Q42" t="str">
            <v xml:space="preserve">   +1 to attacks with thrown weapons;
</v>
          </cell>
          <cell r="R42" t="str">
            <v xml:space="preserve">Skill Bonuses:
</v>
          </cell>
          <cell r="S42" t="str">
            <v xml:space="preserve">   +2 to Listen, Search and Spot checks;
</v>
          </cell>
          <cell r="T42" t="str">
            <v xml:space="preserve">automatic Search check for secret doors within 5';
</v>
          </cell>
          <cell r="AA42" t="str">
            <v xml:space="preserve">
</v>
          </cell>
          <cell r="AE42">
            <v>-2</v>
          </cell>
          <cell r="AF42">
            <v>2</v>
          </cell>
          <cell r="AK42" t="str">
            <v>Halfling (Tallfellow)</v>
          </cell>
          <cell r="AL42" t="str">
            <v xml:space="preserve"> </v>
          </cell>
          <cell r="BC42">
            <v>4</v>
          </cell>
          <cell r="BQ42">
            <v>2</v>
          </cell>
          <cell r="BX42">
            <v>2</v>
          </cell>
          <cell r="CC42">
            <v>2</v>
          </cell>
        </row>
        <row r="43">
          <cell r="A43" t="str">
            <v>Halfling (Deep)</v>
          </cell>
          <cell r="B43">
            <v>1</v>
          </cell>
          <cell r="C43">
            <v>20</v>
          </cell>
          <cell r="D43">
            <v>2</v>
          </cell>
          <cell r="E43" t="str">
            <v>Rogue</v>
          </cell>
          <cell r="F43" t="str">
            <v>Common, Halfling</v>
          </cell>
          <cell r="G43" t="str">
            <v>Humanoid</v>
          </cell>
          <cell r="K43">
            <v>0.5</v>
          </cell>
          <cell r="L43" t="str">
            <v>Saving Throw Bonuses:
   +1 to all saving throws;
   +2 morale bonus to saves vs fear;
Combat Bonuses:
   +1 to attacks with thrown weapons;
Skill Bonuses:
   +2 Appraise and Craft checks relating to stone or metal;
   +2 to Listen checks;
Stonecunning: +</v>
          </cell>
          <cell r="M43" t="str">
            <v xml:space="preserve">Saving Throw Bonuses:
</v>
          </cell>
          <cell r="N43" t="str">
            <v xml:space="preserve">   +1 to all saving throws;
</v>
          </cell>
          <cell r="O43" t="str">
            <v xml:space="preserve">   +2 morale bonus to saves vs fear;
</v>
          </cell>
          <cell r="P43" t="str">
            <v xml:space="preserve">Combat Bonuses:
</v>
          </cell>
          <cell r="Q43" t="str">
            <v xml:space="preserve">   +1 to attacks with thrown weapons;
</v>
          </cell>
          <cell r="R43" t="str">
            <v xml:space="preserve">Skill Bonuses:
</v>
          </cell>
          <cell r="S43" t="str">
            <v xml:space="preserve">   +2 Appraise and Craft checks relating to stone or metal;
</v>
          </cell>
          <cell r="T43" t="str">
            <v xml:space="preserve">   +2 to Listen checks;
</v>
          </cell>
          <cell r="U43" t="str">
            <v xml:space="preserve">Stonecunning: +2 to notice unusual stonework, automatic check 
  within 10'; sense approximate depth underground;
</v>
          </cell>
          <cell r="AA43" t="str">
            <v xml:space="preserve">
</v>
          </cell>
          <cell r="AE43">
            <v>-2</v>
          </cell>
          <cell r="AF43">
            <v>2</v>
          </cell>
          <cell r="AK43" t="str">
            <v>Halfling (Deep)</v>
          </cell>
          <cell r="AL43" t="str">
            <v xml:space="preserve"> </v>
          </cell>
          <cell r="BC43">
            <v>4</v>
          </cell>
          <cell r="BQ43">
            <v>2</v>
          </cell>
        </row>
        <row r="44">
          <cell r="A44" t="str">
            <v>-- Outsiders --</v>
          </cell>
          <cell r="AA44" t="str">
            <v xml:space="preserve">
</v>
          </cell>
          <cell r="AK44" t="str">
            <v>-- Outsiders --</v>
          </cell>
          <cell r="AL44" t="str">
            <v xml:space="preserve"> </v>
          </cell>
        </row>
        <row r="45">
          <cell r="A45" t="str">
            <v>Aasimar</v>
          </cell>
          <cell r="B45">
            <v>2</v>
          </cell>
          <cell r="C45">
            <v>30</v>
          </cell>
          <cell r="D45">
            <v>2</v>
          </cell>
          <cell r="E45" t="str">
            <v>Paladin</v>
          </cell>
          <cell r="F45" t="str">
            <v>Common, Celestial</v>
          </cell>
          <cell r="G45" t="str">
            <v>Outsider (Native)</v>
          </cell>
          <cell r="K45">
            <v>1</v>
          </cell>
          <cell r="L45" t="str">
            <v xml:space="preserve">Skill Bonuses:
  +2 racial bonus on spot and listen checks;
Special Attacks:
  Daylight 1/day;
Energy Resistance:
  Acid 5, Cold 5, Electricity 5;
</v>
          </cell>
          <cell r="M45" t="str">
            <v xml:space="preserve">Skill Bonuses:
</v>
          </cell>
          <cell r="N45" t="str">
            <v xml:space="preserve">  +2 racial bonus on spot and listen checks;
</v>
          </cell>
          <cell r="O45" t="str">
            <v xml:space="preserve">Special Attacks:
</v>
          </cell>
          <cell r="P45" t="str">
            <v xml:space="preserve">  Daylight 1/day;
</v>
          </cell>
          <cell r="Q45" t="str">
            <v xml:space="preserve">Energy Resistance:
</v>
          </cell>
          <cell r="R45" t="str">
            <v xml:space="preserve">  Acid 5, Cold 5, Electricity 5;
</v>
          </cell>
          <cell r="AA45" t="str">
            <v xml:space="preserve">
</v>
          </cell>
          <cell r="AI45">
            <v>2</v>
          </cell>
          <cell r="AJ45">
            <v>2</v>
          </cell>
          <cell r="AK45" t="str">
            <v>Aasimar</v>
          </cell>
          <cell r="AL45" t="str">
            <v xml:space="preserve"> </v>
          </cell>
          <cell r="BQ45">
            <v>2</v>
          </cell>
          <cell r="CC45">
            <v>2</v>
          </cell>
        </row>
        <row r="46">
          <cell r="A46" t="str">
            <v>Githyanki</v>
          </cell>
          <cell r="B46">
            <v>2</v>
          </cell>
          <cell r="C46">
            <v>30</v>
          </cell>
          <cell r="D46">
            <v>2</v>
          </cell>
          <cell r="E46" t="str">
            <v>Fighter</v>
          </cell>
          <cell r="F46" t="str">
            <v>Githyanki</v>
          </cell>
          <cell r="G46" t="str">
            <v>Humanoid</v>
          </cell>
          <cell r="J46">
            <v>10</v>
          </cell>
          <cell r="K46">
            <v>2</v>
          </cell>
          <cell r="L46" t="str">
            <v xml:space="preserve">Psionics:
  Daze 3/day, Mage Hand;
  Blur 3/day;
</v>
          </cell>
          <cell r="M46" t="str">
            <v xml:space="preserve">Psionics:
</v>
          </cell>
          <cell r="N46" t="str">
            <v xml:space="preserve">  Daze 3/day, Mage Hand;
</v>
          </cell>
          <cell r="O46" t="str">
            <v xml:space="preserve">  Blur 3/day;
</v>
          </cell>
          <cell r="AA46" t="str">
            <v xml:space="preserve">
</v>
          </cell>
          <cell r="AF46">
            <v>2</v>
          </cell>
          <cell r="AG46">
            <v>2</v>
          </cell>
          <cell r="AI46">
            <v>-2</v>
          </cell>
          <cell r="AK46" t="str">
            <v>Githyanki</v>
          </cell>
          <cell r="AL46" t="str">
            <v xml:space="preserve"> </v>
          </cell>
        </row>
        <row r="47">
          <cell r="A47" t="str">
            <v>Githzerai</v>
          </cell>
          <cell r="B47">
            <v>2</v>
          </cell>
          <cell r="C47">
            <v>30</v>
          </cell>
          <cell r="D47">
            <v>2</v>
          </cell>
          <cell r="E47" t="str">
            <v>Monk</v>
          </cell>
          <cell r="F47" t="str">
            <v>Githzerai</v>
          </cell>
          <cell r="G47" t="str">
            <v>Humanoid</v>
          </cell>
          <cell r="J47">
            <v>10</v>
          </cell>
          <cell r="K47">
            <v>2</v>
          </cell>
          <cell r="L47" t="str">
            <v xml:space="preserve">Psionics:
  Daze 3/day, Feather Fall, Shatter;
  Inertial Armor:  +4 armor bonus to AC as long as they remain 
    conscious;
</v>
          </cell>
          <cell r="M47" t="str">
            <v xml:space="preserve">Psionics:
</v>
          </cell>
          <cell r="N47" t="str">
            <v xml:space="preserve">  Daze 3/day, Feather Fall, Shatter;
</v>
          </cell>
          <cell r="O47" t="str">
            <v xml:space="preserve">  Inertial Armor:  +4 armor bonus to AC as long as they remain 
    conscious;
</v>
          </cell>
          <cell r="P47" t="str">
            <v/>
          </cell>
          <cell r="AA47" t="str">
            <v xml:space="preserve">
</v>
          </cell>
          <cell r="AF47">
            <v>6</v>
          </cell>
          <cell r="AH47">
            <v>-2</v>
          </cell>
          <cell r="AI47">
            <v>2</v>
          </cell>
          <cell r="AK47" t="str">
            <v>Githzerai</v>
          </cell>
          <cell r="AL47" t="str">
            <v xml:space="preserve"> </v>
          </cell>
        </row>
        <row r="48">
          <cell r="A48" t="str">
            <v>Tiefling</v>
          </cell>
          <cell r="B48">
            <v>2</v>
          </cell>
          <cell r="C48">
            <v>30</v>
          </cell>
          <cell r="D48">
            <v>2</v>
          </cell>
          <cell r="E48" t="str">
            <v>Rogue</v>
          </cell>
          <cell r="F48" t="str">
            <v>Common, Infernal</v>
          </cell>
          <cell r="G48" t="str">
            <v>Outsider (Native)</v>
          </cell>
          <cell r="K48">
            <v>1</v>
          </cell>
          <cell r="L48" t="str">
            <v xml:space="preserve">Skill Bonuses:
  +2 racial bonus on hide and bluff checks;
Special Attacks:
  Darkness 1/day;
Energy Resistance:
  Cold 5, Electricity 5, Fire 5
</v>
          </cell>
          <cell r="M48" t="str">
            <v xml:space="preserve">Skill Bonuses:
</v>
          </cell>
          <cell r="N48" t="str">
            <v xml:space="preserve">  +2 racial bonus on hide and bluff checks;
</v>
          </cell>
          <cell r="O48" t="str">
            <v xml:space="preserve">Special Attacks:
</v>
          </cell>
          <cell r="P48" t="str">
            <v xml:space="preserve">  Darkness 1/day;
</v>
          </cell>
          <cell r="Q48" t="str">
            <v xml:space="preserve">Energy Resistance:
</v>
          </cell>
          <cell r="R48" t="str">
            <v xml:space="preserve">  Cold 5, Electricity 5, Fire 5
</v>
          </cell>
          <cell r="AA48" t="str">
            <v xml:space="preserve">
</v>
          </cell>
          <cell r="AF48">
            <v>2</v>
          </cell>
          <cell r="AH48">
            <v>2</v>
          </cell>
          <cell r="AJ48">
            <v>-2</v>
          </cell>
          <cell r="AK48" t="str">
            <v>Tiefling</v>
          </cell>
          <cell r="AL48" t="str">
            <v xml:space="preserve"> </v>
          </cell>
          <cell r="AO48">
            <v>2</v>
          </cell>
          <cell r="BC48">
            <v>2</v>
          </cell>
        </row>
        <row r="49">
          <cell r="A49" t="str">
            <v>-- Custom Races --</v>
          </cell>
          <cell r="L49" t="str">
            <v xml:space="preserve">
</v>
          </cell>
          <cell r="AA49" t="str">
            <v xml:space="preserve">
</v>
          </cell>
          <cell r="AK49" t="str">
            <v>-- Custom Races --</v>
          </cell>
          <cell r="AL49" t="str">
            <v xml:space="preserve"> </v>
          </cell>
        </row>
        <row r="50">
          <cell r="A50" t="str">
            <v>--------------</v>
          </cell>
          <cell r="B50" t="str">
            <v>INSERT ROWS FOR ADDITIONAL RACES ABOVE THIS ROW</v>
          </cell>
          <cell r="AA50" t="str">
            <v xml:space="preserve">
</v>
          </cell>
          <cell r="AK50" t="str">
            <v>--------------</v>
          </cell>
          <cell r="AL50" t="str">
            <v xml:space="preserve"> </v>
          </cell>
        </row>
        <row r="52">
          <cell r="A52" t="str">
            <v>Celestial</v>
          </cell>
        </row>
        <row r="53">
          <cell r="A53" t="str">
            <v>Fiendish</v>
          </cell>
        </row>
        <row r="54">
          <cell r="A54" t="str">
            <v>Half-Celestial</v>
          </cell>
        </row>
        <row r="55">
          <cell r="A55" t="str">
            <v>Half-Dragon (Black)</v>
          </cell>
        </row>
        <row r="56">
          <cell r="A56" t="str">
            <v>Half-Dragon (Blue)</v>
          </cell>
        </row>
        <row r="57">
          <cell r="A57" t="str">
            <v>Half-Dragon (Green)</v>
          </cell>
        </row>
        <row r="58">
          <cell r="A58" t="str">
            <v>Half-Dragon (Red)</v>
          </cell>
        </row>
        <row r="59">
          <cell r="A59" t="str">
            <v>Half-Dragon (White)</v>
          </cell>
        </row>
        <row r="60">
          <cell r="A60" t="str">
            <v>Half-Dragon (Brass)</v>
          </cell>
        </row>
        <row r="61">
          <cell r="A61" t="str">
            <v>Half-Dragon (Bronze)</v>
          </cell>
        </row>
        <row r="62">
          <cell r="A62" t="str">
            <v>Half-Dragon (Copper)</v>
          </cell>
        </row>
        <row r="63">
          <cell r="A63" t="str">
            <v>Half-Dragon (Gold)</v>
          </cell>
        </row>
        <row r="64">
          <cell r="A64" t="str">
            <v>Half-Dragon (Silver)</v>
          </cell>
        </row>
        <row r="65">
          <cell r="A65" t="str">
            <v>Half-Fiend</v>
          </cell>
        </row>
        <row r="66">
          <cell r="A66" t="str">
            <v>Lich</v>
          </cell>
        </row>
        <row r="67">
          <cell r="A67" t="str">
            <v>Vampire</v>
          </cell>
        </row>
        <row r="68">
          <cell r="A68" t="str">
            <v>-- Custom Templates --</v>
          </cell>
        </row>
        <row r="71">
          <cell r="B71" t="str">
            <v>&lt;==Base</v>
          </cell>
          <cell r="C71" t="str">
            <v>20 ft</v>
          </cell>
          <cell r="D71">
            <v>2</v>
          </cell>
          <cell r="E71">
            <v>0</v>
          </cell>
          <cell r="F71" t="str">
            <v>Common, Dwarven</v>
          </cell>
          <cell r="G71" t="str">
            <v>Humanoid</v>
          </cell>
          <cell r="I71">
            <v>0</v>
          </cell>
          <cell r="J71">
            <v>0</v>
          </cell>
          <cell r="K71">
            <v>0.5</v>
          </cell>
          <cell r="L71" t="str">
            <v xml:space="preserve">Saving Throw Bonuses:
   +2 to Fortitude saves vs poison;
   +2 to Will saves vs spells/spell-like effects;
Combat Bonuses:
   +4 dodge bonus to AC vs giants;
   +1 to attacks vs orcs and goblinoids;
Skill Bonuses:
   +2 to Appraise rare/exotic items;
   </v>
          </cell>
          <cell r="AE71">
            <v>0</v>
          </cell>
          <cell r="AF71">
            <v>0</v>
          </cell>
          <cell r="AG71">
            <v>2</v>
          </cell>
          <cell r="AH71">
            <v>0</v>
          </cell>
          <cell r="AI71">
            <v>0</v>
          </cell>
          <cell r="AJ71">
            <v>-2</v>
          </cell>
          <cell r="AL71" t="str">
            <v xml:space="preserve"> 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  <cell r="BP71">
            <v>0</v>
          </cell>
          <cell r="BQ71">
            <v>0</v>
          </cell>
          <cell r="BR71">
            <v>0</v>
          </cell>
          <cell r="BS71">
            <v>0</v>
          </cell>
          <cell r="BT71">
            <v>0</v>
          </cell>
          <cell r="BU71">
            <v>0</v>
          </cell>
          <cell r="BV71">
            <v>0</v>
          </cell>
          <cell r="BW71">
            <v>0</v>
          </cell>
          <cell r="BX71">
            <v>0</v>
          </cell>
          <cell r="BY71">
            <v>0</v>
          </cell>
          <cell r="BZ71">
            <v>0</v>
          </cell>
          <cell r="CA71">
            <v>0</v>
          </cell>
          <cell r="CB71">
            <v>0</v>
          </cell>
          <cell r="CC71">
            <v>0</v>
          </cell>
          <cell r="CD71">
            <v>0</v>
          </cell>
          <cell r="CE71">
            <v>0</v>
          </cell>
          <cell r="CF71">
            <v>0</v>
          </cell>
          <cell r="CG71">
            <v>0</v>
          </cell>
          <cell r="CH71">
            <v>0</v>
          </cell>
          <cell r="CI71">
            <v>0</v>
          </cell>
        </row>
        <row r="72">
          <cell r="B72" t="str">
            <v>&lt;=Template</v>
          </cell>
          <cell r="C72">
            <v>0</v>
          </cell>
          <cell r="D72">
            <v>0</v>
          </cell>
          <cell r="E72">
            <v>0</v>
          </cell>
          <cell r="F72" t="str">
            <v xml:space="preserve"> </v>
          </cell>
          <cell r="G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AE72" t="str">
            <v/>
          </cell>
          <cell r="AF72" t="str">
            <v/>
          </cell>
          <cell r="AG72" t="str">
            <v/>
          </cell>
          <cell r="AH72" t="str">
            <v/>
          </cell>
          <cell r="AI72" t="str">
            <v/>
          </cell>
          <cell r="AJ72" t="str">
            <v/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  <cell r="BP72">
            <v>0</v>
          </cell>
          <cell r="BQ72">
            <v>0</v>
          </cell>
          <cell r="BR72">
            <v>0</v>
          </cell>
          <cell r="BS72">
            <v>0</v>
          </cell>
          <cell r="BT72">
            <v>0</v>
          </cell>
          <cell r="BU72">
            <v>0</v>
          </cell>
          <cell r="BV72">
            <v>0</v>
          </cell>
          <cell r="BW72">
            <v>0</v>
          </cell>
          <cell r="BX72">
            <v>0</v>
          </cell>
          <cell r="BY72">
            <v>0</v>
          </cell>
          <cell r="BZ72">
            <v>0</v>
          </cell>
          <cell r="CA72">
            <v>0</v>
          </cell>
          <cell r="CB72">
            <v>0</v>
          </cell>
          <cell r="CC72">
            <v>0</v>
          </cell>
          <cell r="CD72">
            <v>0</v>
          </cell>
          <cell r="CE72">
            <v>0</v>
          </cell>
          <cell r="CF72">
            <v>0</v>
          </cell>
          <cell r="CG72">
            <v>0</v>
          </cell>
          <cell r="CH72">
            <v>0</v>
          </cell>
          <cell r="CI72">
            <v>0</v>
          </cell>
        </row>
        <row r="73">
          <cell r="B73" t="str">
            <v>Dwarf (Hill)</v>
          </cell>
          <cell r="C73" t="str">
            <v>20 ft</v>
          </cell>
          <cell r="D73">
            <v>2</v>
          </cell>
          <cell r="E73">
            <v>0</v>
          </cell>
          <cell r="F73" t="str">
            <v>Common, Dwarven</v>
          </cell>
          <cell r="G73" t="str">
            <v>Humanoid</v>
          </cell>
          <cell r="I73" t="str">
            <v>n/a</v>
          </cell>
          <cell r="J73">
            <v>0</v>
          </cell>
          <cell r="K73">
            <v>0.5</v>
          </cell>
          <cell r="L73" t="str">
            <v>Ability Modifiers:
  +2 Constitution;
  -2 Charisma;
Saving Throw Bonuses:
   +2 to Fortitude saves vs poison;
   +2 to Will saves vs spells/spell-like effects;
Combat Bonuses:
   +4 dodge bonus to AC vs giants;
   +1 to attacks vs orcs and goblinoids;
Sk</v>
          </cell>
          <cell r="M73" t="str">
            <v/>
          </cell>
          <cell r="AE73">
            <v>0</v>
          </cell>
          <cell r="AF73">
            <v>0</v>
          </cell>
          <cell r="AG73">
            <v>2</v>
          </cell>
          <cell r="AH73">
            <v>0</v>
          </cell>
          <cell r="AI73">
            <v>0</v>
          </cell>
          <cell r="AJ73">
            <v>-2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0</v>
          </cell>
          <cell r="BJ73">
            <v>0</v>
          </cell>
          <cell r="BK73">
            <v>0</v>
          </cell>
          <cell r="BL73">
            <v>0</v>
          </cell>
          <cell r="BM73">
            <v>0</v>
          </cell>
          <cell r="BN73">
            <v>0</v>
          </cell>
          <cell r="BO73">
            <v>0</v>
          </cell>
          <cell r="BP73">
            <v>0</v>
          </cell>
          <cell r="BQ73">
            <v>0</v>
          </cell>
          <cell r="BR73">
            <v>0</v>
          </cell>
          <cell r="BS73">
            <v>0</v>
          </cell>
          <cell r="BT73">
            <v>0</v>
          </cell>
          <cell r="BU73">
            <v>0</v>
          </cell>
          <cell r="BV73">
            <v>0</v>
          </cell>
          <cell r="BW73">
            <v>0</v>
          </cell>
          <cell r="BX73">
            <v>0</v>
          </cell>
          <cell r="BY73">
            <v>0</v>
          </cell>
          <cell r="BZ73">
            <v>0</v>
          </cell>
          <cell r="CA73">
            <v>0</v>
          </cell>
          <cell r="CB73">
            <v>0</v>
          </cell>
          <cell r="CC73">
            <v>0</v>
          </cell>
          <cell r="CD73">
            <v>0</v>
          </cell>
          <cell r="CE73">
            <v>0</v>
          </cell>
          <cell r="CF73">
            <v>0</v>
          </cell>
          <cell r="CG73">
            <v>0</v>
          </cell>
          <cell r="CH73">
            <v>0</v>
          </cell>
          <cell r="CI73">
            <v>0</v>
          </cell>
        </row>
        <row r="83">
          <cell r="A83" t="str">
            <v>Aberration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8</v>
          </cell>
          <cell r="H83">
            <v>36</v>
          </cell>
        </row>
        <row r="84">
          <cell r="A84" t="str">
            <v>Animal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8</v>
          </cell>
          <cell r="H84">
            <v>15</v>
          </cell>
        </row>
        <row r="85">
          <cell r="A85" t="str">
            <v>Beast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10</v>
          </cell>
          <cell r="H85">
            <v>36</v>
          </cell>
        </row>
        <row r="86">
          <cell r="A86" t="str">
            <v>Construct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10</v>
          </cell>
          <cell r="H86">
            <v>0</v>
          </cell>
        </row>
        <row r="87">
          <cell r="A87" t="str">
            <v>Dragon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12</v>
          </cell>
          <cell r="H87">
            <v>30</v>
          </cell>
        </row>
        <row r="88">
          <cell r="A88" t="str">
            <v>Elemental (Air)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8</v>
          </cell>
          <cell r="H88">
            <v>36</v>
          </cell>
        </row>
        <row r="89">
          <cell r="A89" t="str">
            <v>Elemental (Earth)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8</v>
          </cell>
          <cell r="H89">
            <v>36</v>
          </cell>
        </row>
        <row r="90">
          <cell r="A90" t="str">
            <v>Elemental (Fire)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8</v>
          </cell>
          <cell r="H90">
            <v>36</v>
          </cell>
        </row>
        <row r="91">
          <cell r="A91" t="str">
            <v>Elemental (Water)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8</v>
          </cell>
          <cell r="H91">
            <v>36</v>
          </cell>
        </row>
        <row r="92">
          <cell r="A92" t="str">
            <v>Fey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6</v>
          </cell>
          <cell r="H92">
            <v>54</v>
          </cell>
        </row>
        <row r="93">
          <cell r="A93" t="str">
            <v>Giant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8</v>
          </cell>
          <cell r="H93">
            <v>10</v>
          </cell>
        </row>
        <row r="94">
          <cell r="A94" t="str">
            <v>Humanoid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8</v>
          </cell>
          <cell r="H94">
            <v>10</v>
          </cell>
        </row>
        <row r="95">
          <cell r="A95" t="str">
            <v>Magical Beast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10</v>
          </cell>
          <cell r="H95">
            <v>36</v>
          </cell>
        </row>
        <row r="96">
          <cell r="A96" t="str">
            <v>Monstrous Humanoid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8</v>
          </cell>
          <cell r="H96">
            <v>36</v>
          </cell>
        </row>
        <row r="97">
          <cell r="A97" t="str">
            <v>Ooze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10</v>
          </cell>
          <cell r="H97">
            <v>0</v>
          </cell>
        </row>
        <row r="98">
          <cell r="A98" t="str">
            <v>Outsider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8</v>
          </cell>
          <cell r="H98">
            <v>0</v>
          </cell>
        </row>
        <row r="99">
          <cell r="A99" t="str">
            <v>Plant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8</v>
          </cell>
          <cell r="H99">
            <v>0</v>
          </cell>
        </row>
        <row r="100">
          <cell r="A100" t="str">
            <v>Shapechanger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8</v>
          </cell>
          <cell r="H100">
            <v>36</v>
          </cell>
        </row>
        <row r="101">
          <cell r="A101" t="str">
            <v>Undead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12</v>
          </cell>
          <cell r="H101">
            <v>54</v>
          </cell>
        </row>
        <row r="102">
          <cell r="A102" t="str">
            <v>Vermin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8</v>
          </cell>
          <cell r="H102">
            <v>15</v>
          </cell>
        </row>
        <row r="103">
          <cell r="A103" t="str">
            <v>-------------</v>
          </cell>
          <cell r="B103" t="str">
            <v>DO NOT EDIT THE DATA ABOVE THIS ROW</v>
          </cell>
        </row>
        <row r="104">
          <cell r="A104" t="str">
            <v>-------------</v>
          </cell>
          <cell r="B104" t="str">
            <v>INSERT ROWS FOR ADDITIONAL MONSTER RACES ABOVE THIS ROW</v>
          </cell>
        </row>
        <row r="105">
          <cell r="A105" t="str">
            <v>-- Core Classes --</v>
          </cell>
        </row>
        <row r="106">
          <cell r="A106" t="str">
            <v>Barbarian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12</v>
          </cell>
          <cell r="H106">
            <v>4</v>
          </cell>
          <cell r="I106" t="str">
            <v/>
          </cell>
          <cell r="J106" t="str">
            <v xml:space="preserve">Barbarian Features:
</v>
          </cell>
          <cell r="K106" t="str">
            <v xml:space="preserve">simple and martial weapon proficiency;
</v>
          </cell>
          <cell r="L106" t="str">
            <v xml:space="preserve">light and medium armor and shield proficiency;
</v>
          </cell>
          <cell r="M106" t="str">
            <v xml:space="preserve">barbarian rage:  (1 times/day);
</v>
          </cell>
          <cell r="N106" t="str">
            <v xml:space="preserve">fast movement: +10ft to movement when unarmored or wearing light or medium armor and not carrying a heavy load;
</v>
          </cell>
          <cell r="O106" t="str">
            <v xml:space="preserve">Illiterate: must spend 2 skill points to read/write any language known;
</v>
          </cell>
          <cell r="P106" t="str">
            <v xml:space="preserve">Alignment must be non-lawful
</v>
          </cell>
          <cell r="Q106" t="str">
            <v/>
          </cell>
          <cell r="R106" t="str">
            <v/>
          </cell>
          <cell r="S106" t="str">
            <v/>
          </cell>
          <cell r="T106" t="str">
            <v/>
          </cell>
          <cell r="U106" t="str">
            <v/>
          </cell>
          <cell r="V106" t="str">
            <v/>
          </cell>
          <cell r="AI106" t="str">
            <v xml:space="preserve">
</v>
          </cell>
          <cell r="AO106" t="b">
            <v>0</v>
          </cell>
          <cell r="AQ106" t="b">
            <v>0</v>
          </cell>
          <cell r="AR106" t="b">
            <v>0</v>
          </cell>
          <cell r="AZ106" t="b">
            <v>0</v>
          </cell>
          <cell r="BC106" t="b">
            <v>0</v>
          </cell>
          <cell r="BD106" t="b">
            <v>0</v>
          </cell>
          <cell r="BE106" t="b">
            <v>1</v>
          </cell>
          <cell r="BF106" t="b">
            <v>1</v>
          </cell>
          <cell r="BG106" t="b">
            <v>1</v>
          </cell>
          <cell r="BH106" t="b">
            <v>1</v>
          </cell>
          <cell r="BI106" t="b">
            <v>1</v>
          </cell>
          <cell r="BJ106" t="b">
            <v>1</v>
          </cell>
          <cell r="BK106" t="b">
            <v>1</v>
          </cell>
          <cell r="BL106" t="b">
            <v>1</v>
          </cell>
          <cell r="BM106" t="b">
            <v>1</v>
          </cell>
          <cell r="BN106" t="b">
            <v>1</v>
          </cell>
          <cell r="BO106" t="b">
            <v>1</v>
          </cell>
          <cell r="BP106" t="b">
            <v>0</v>
          </cell>
          <cell r="BV106" t="b">
            <v>0</v>
          </cell>
          <cell r="BZ106" t="b">
            <v>0</v>
          </cell>
          <cell r="CC106" t="b">
            <v>0</v>
          </cell>
          <cell r="CD106" t="b">
            <v>0</v>
          </cell>
        </row>
        <row r="107">
          <cell r="A107" t="str">
            <v>Bard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6</v>
          </cell>
          <cell r="H107">
            <v>6</v>
          </cell>
          <cell r="I107" t="str">
            <v/>
          </cell>
          <cell r="J107" t="str">
            <v xml:space="preserve">Bard Features:
</v>
          </cell>
          <cell r="K107" t="str">
            <v xml:space="preserve">Simple and martial weapon proficiency;
</v>
          </cell>
          <cell r="L107" t="str">
            <v xml:space="preserve">light and medium armor and shield proficiency;
</v>
          </cell>
          <cell r="M107" t="str">
            <v xml:space="preserve">Bardic music: produce any of the following effects up to 0 times/day
</v>
          </cell>
          <cell r="N107" t="str">
            <v/>
          </cell>
          <cell r="O107" t="str">
            <v/>
          </cell>
          <cell r="P107" t="str">
            <v/>
          </cell>
          <cell r="Q107" t="str">
            <v/>
          </cell>
          <cell r="R107" t="str">
            <v/>
          </cell>
          <cell r="S107" t="str">
            <v/>
          </cell>
          <cell r="T107" t="str">
            <v/>
          </cell>
          <cell r="U107" t="str">
            <v/>
          </cell>
          <cell r="V107" t="str">
            <v/>
          </cell>
          <cell r="W107" t="str">
            <v xml:space="preserve">Bardic knowledge: learn obscure lore with a successful check (d20+4)
</v>
          </cell>
          <cell r="X107" t="str">
            <v xml:space="preserve">Alignment must be non-lawful
</v>
          </cell>
          <cell r="AI107" t="str">
            <v xml:space="preserve">
</v>
          </cell>
          <cell r="AK107" t="b">
            <v>0</v>
          </cell>
          <cell r="AM107" t="b">
            <v>0</v>
          </cell>
          <cell r="AN107" t="b">
            <v>0</v>
          </cell>
          <cell r="AO107" t="b">
            <v>0</v>
          </cell>
          <cell r="AP107" t="b">
            <v>0</v>
          </cell>
          <cell r="AQ107" t="b">
            <v>0</v>
          </cell>
          <cell r="AR107" t="b">
            <v>0</v>
          </cell>
          <cell r="AS107" t="b">
            <v>0</v>
          </cell>
          <cell r="AT107" t="b">
            <v>0</v>
          </cell>
          <cell r="AV107" t="b">
            <v>0</v>
          </cell>
          <cell r="AW107" t="b">
            <v>0</v>
          </cell>
          <cell r="AY107" t="b">
            <v>0</v>
          </cell>
          <cell r="BB107" t="b">
            <v>0</v>
          </cell>
          <cell r="BD107" t="b">
            <v>0</v>
          </cell>
          <cell r="BE107" t="b">
            <v>1</v>
          </cell>
          <cell r="BF107" t="b">
            <v>1</v>
          </cell>
          <cell r="BG107" t="b">
            <v>1</v>
          </cell>
          <cell r="BH107" t="b">
            <v>1</v>
          </cell>
          <cell r="BI107" t="b">
            <v>1</v>
          </cell>
          <cell r="BJ107" t="b">
            <v>1</v>
          </cell>
          <cell r="BK107" t="b">
            <v>1</v>
          </cell>
          <cell r="BL107" t="b">
            <v>1</v>
          </cell>
          <cell r="BM107" t="b">
            <v>1</v>
          </cell>
          <cell r="BN107" t="b">
            <v>1</v>
          </cell>
          <cell r="BO107" t="b">
            <v>1</v>
          </cell>
          <cell r="BP107" t="b">
            <v>0</v>
          </cell>
          <cell r="BQ107" t="b">
            <v>0</v>
          </cell>
          <cell r="BS107" t="b">
            <v>0</v>
          </cell>
          <cell r="BT107" t="b">
            <v>0</v>
          </cell>
          <cell r="BX107" t="b">
            <v>0</v>
          </cell>
          <cell r="BY107" t="b">
            <v>0</v>
          </cell>
          <cell r="BZ107" t="b">
            <v>0</v>
          </cell>
          <cell r="CA107" t="b">
            <v>0</v>
          </cell>
          <cell r="CD107" t="b">
            <v>0</v>
          </cell>
          <cell r="CE107" t="b">
            <v>0</v>
          </cell>
          <cell r="CF107" t="b">
            <v>0</v>
          </cell>
          <cell r="CI107">
            <v>10</v>
          </cell>
          <cell r="CJ107" t="e">
            <v>#N/A</v>
          </cell>
          <cell r="CK107">
            <v>0</v>
          </cell>
          <cell r="CL107" t="str">
            <v/>
          </cell>
          <cell r="CM107" t="str">
            <v/>
          </cell>
          <cell r="CN107" t="str">
            <v/>
          </cell>
          <cell r="CO107" t="str">
            <v/>
          </cell>
          <cell r="CP107" t="str">
            <v/>
          </cell>
          <cell r="CQ107" t="str">
            <v/>
          </cell>
          <cell r="CR107" t="str">
            <v/>
          </cell>
          <cell r="CS107" t="str">
            <v>--</v>
          </cell>
          <cell r="CT107" t="str">
            <v>--</v>
          </cell>
          <cell r="CU107" t="str">
            <v>--</v>
          </cell>
          <cell r="CV107" t="str">
            <v/>
          </cell>
          <cell r="CW107" t="str">
            <v/>
          </cell>
          <cell r="CX107" t="str">
            <v/>
          </cell>
          <cell r="CY107" t="str">
            <v/>
          </cell>
          <cell r="CZ107" t="str">
            <v/>
          </cell>
          <cell r="DA107" t="str">
            <v/>
          </cell>
          <cell r="DB107" t="str">
            <v/>
          </cell>
          <cell r="DC107" t="str">
            <v>--</v>
          </cell>
          <cell r="DD107" t="str">
            <v>--</v>
          </cell>
          <cell r="DE107" t="str">
            <v>--</v>
          </cell>
        </row>
        <row r="108">
          <cell r="A108" t="str">
            <v>Cleric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8</v>
          </cell>
          <cell r="H108">
            <v>2</v>
          </cell>
          <cell r="I108" t="str">
            <v/>
          </cell>
          <cell r="J108" t="str">
            <v xml:space="preserve">Cleric Features:
</v>
          </cell>
          <cell r="K108" t="str">
            <v xml:space="preserve">simple weapon proficiency plus deity's preferred weapon;
</v>
          </cell>
          <cell r="L108" t="str">
            <v xml:space="preserve">all armor and shield proficiency;
</v>
          </cell>
          <cell r="M108" t="str">
            <v xml:space="preserve">spontaneous casting: exchange memorized spell for cure/inflict wounds spell;
</v>
          </cell>
          <cell r="N108" t="str">
            <v xml:space="preserve">turn/rebuke undead (su): 3 times/day;
</v>
          </cell>
          <cell r="O108" t="str">
            <v xml:space="preserve">may take Extra Turning as a feat
</v>
          </cell>
          <cell r="AI108" t="str">
            <v xml:space="preserve">
</v>
          </cell>
          <cell r="AN108" t="b">
            <v>0</v>
          </cell>
          <cell r="AP108" t="b">
            <v>0</v>
          </cell>
          <cell r="AQ108" t="b">
            <v>0</v>
          </cell>
          <cell r="AR108" t="b">
            <v>0</v>
          </cell>
          <cell r="AT108" t="b">
            <v>0</v>
          </cell>
          <cell r="AV108" t="b">
            <v>0</v>
          </cell>
          <cell r="BA108" t="b">
            <v>0</v>
          </cell>
          <cell r="BB108" t="b">
            <v>0</v>
          </cell>
          <cell r="BE108" t="b">
            <v>1</v>
          </cell>
          <cell r="BF108" t="b">
            <v>1</v>
          </cell>
          <cell r="BG108" t="b">
            <v>1</v>
          </cell>
          <cell r="BH108" t="b">
            <v>1</v>
          </cell>
          <cell r="BI108" t="b">
            <v>1</v>
          </cell>
          <cell r="BJ108" t="b">
            <v>1</v>
          </cell>
          <cell r="BK108" t="b">
            <v>1</v>
          </cell>
          <cell r="BL108" t="b">
            <v>1</v>
          </cell>
          <cell r="BM108" t="b">
            <v>1</v>
          </cell>
          <cell r="BN108" t="b">
            <v>1</v>
          </cell>
          <cell r="BO108" t="b">
            <v>1</v>
          </cell>
          <cell r="BT108" t="b">
            <v>0</v>
          </cell>
          <cell r="BZ108" t="b">
            <v>0</v>
          </cell>
          <cell r="CA108" t="b">
            <v>0</v>
          </cell>
          <cell r="CC108" t="b">
            <v>0</v>
          </cell>
          <cell r="CI108">
            <v>11</v>
          </cell>
          <cell r="CJ108" t="e">
            <v>#N/A</v>
          </cell>
          <cell r="CK108">
            <v>0</v>
          </cell>
          <cell r="CL108" t="str">
            <v/>
          </cell>
          <cell r="CM108" t="str">
            <v/>
          </cell>
          <cell r="CN108" t="str">
            <v/>
          </cell>
          <cell r="CO108" t="str">
            <v/>
          </cell>
          <cell r="CP108" t="str">
            <v/>
          </cell>
          <cell r="CQ108" t="str">
            <v/>
          </cell>
          <cell r="CR108" t="str">
            <v/>
          </cell>
          <cell r="CS108" t="str">
            <v/>
          </cell>
          <cell r="CT108" t="str">
            <v/>
          </cell>
          <cell r="CU108" t="str">
            <v/>
          </cell>
          <cell r="CV108" t="str">
            <v>--</v>
          </cell>
          <cell r="CW108" t="str">
            <v>--</v>
          </cell>
          <cell r="CX108" t="str">
            <v>--</v>
          </cell>
          <cell r="CY108" t="str">
            <v>--</v>
          </cell>
          <cell r="CZ108" t="str">
            <v>--</v>
          </cell>
          <cell r="DA108" t="str">
            <v>--</v>
          </cell>
          <cell r="DB108" t="str">
            <v>--</v>
          </cell>
          <cell r="DC108" t="str">
            <v>--</v>
          </cell>
          <cell r="DD108" t="str">
            <v>--</v>
          </cell>
          <cell r="DE108" t="str">
            <v>--</v>
          </cell>
        </row>
        <row r="109">
          <cell r="A109" t="str">
            <v>Druid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8</v>
          </cell>
          <cell r="H109">
            <v>4</v>
          </cell>
          <cell r="I109" t="str">
            <v/>
          </cell>
          <cell r="J109" t="str">
            <v xml:space="preserve">Druid Features:
</v>
          </cell>
          <cell r="K109" t="str">
            <v xml:space="preserve">proficient with club, dagger, dart, longspear, quarterstaff, scimitar, sickle, shortspear and sling;
</v>
          </cell>
          <cell r="L109" t="str">
            <v xml:space="preserve">light and medium armor and shield proficiency, may use only non-metallic armor;
</v>
          </cell>
          <cell r="M109" t="str">
            <v xml:space="preserve">nature sense: identify plants and animals and potable water;
</v>
          </cell>
          <cell r="N109" t="str">
            <v xml:space="preserve">spontaneous casting: may convert any spell into a summon nature's ally spell of same level or lower;
</v>
          </cell>
          <cell r="O109" t="str">
            <v xml:space="preserve">wild empathy:  may improve the attitude of an animal using body language, vocalizations and demeanor
    check result equals 1d20 + 0;
</v>
          </cell>
          <cell r="P109" t="str">
            <v xml:space="preserve">animal companion:  may begin play with a companion which gains abilities as the druid raises in level
</v>
          </cell>
          <cell r="Q109" t="str">
            <v xml:space="preserve">nature sense:  gains a +2 bonus to Knowledge (nature) and Survival checks
</v>
          </cell>
          <cell r="R109" t="str">
            <v/>
          </cell>
          <cell r="S109" t="str">
            <v/>
          </cell>
          <cell r="T109" t="str">
            <v/>
          </cell>
          <cell r="U109" t="str">
            <v/>
          </cell>
          <cell r="V109" t="str">
            <v/>
          </cell>
          <cell r="W109" t="str">
            <v/>
          </cell>
          <cell r="X109" t="str">
            <v/>
          </cell>
          <cell r="Y109" t="str">
            <v/>
          </cell>
          <cell r="Z109" t="str">
            <v/>
          </cell>
          <cell r="AA109" t="str">
            <v/>
          </cell>
          <cell r="AB109" t="str">
            <v/>
          </cell>
          <cell r="AC109" t="str">
            <v/>
          </cell>
          <cell r="AD109" t="str">
            <v/>
          </cell>
          <cell r="AE109" t="str">
            <v xml:space="preserve">alignment must be neutral (true, good or evil)
</v>
          </cell>
          <cell r="AI109" t="str">
            <v xml:space="preserve">
</v>
          </cell>
          <cell r="AP109" t="b">
            <v>0</v>
          </cell>
          <cell r="AQ109" t="b">
            <v>0</v>
          </cell>
          <cell r="AR109" t="b">
            <v>0</v>
          </cell>
          <cell r="AT109" t="b">
            <v>0</v>
          </cell>
          <cell r="AZ109" t="b">
            <v>0</v>
          </cell>
          <cell r="BA109" t="b">
            <v>0</v>
          </cell>
          <cell r="BE109" t="b">
            <v>1</v>
          </cell>
          <cell r="BF109" t="b">
            <v>1</v>
          </cell>
          <cell r="BG109" t="b">
            <v>1</v>
          </cell>
          <cell r="BH109" t="b">
            <v>1</v>
          </cell>
          <cell r="BI109" t="b">
            <v>1</v>
          </cell>
          <cell r="BJ109" t="b">
            <v>1</v>
          </cell>
          <cell r="BK109" t="b">
            <v>1</v>
          </cell>
          <cell r="BL109" t="b">
            <v>1</v>
          </cell>
          <cell r="BM109" t="b">
            <v>1</v>
          </cell>
          <cell r="BN109" t="b">
            <v>1</v>
          </cell>
          <cell r="BO109" t="b">
            <v>1</v>
          </cell>
          <cell r="BT109" t="b">
            <v>0</v>
          </cell>
          <cell r="BZ109" t="b">
            <v>0</v>
          </cell>
          <cell r="CA109" t="b">
            <v>0</v>
          </cell>
          <cell r="CC109" t="b">
            <v>0</v>
          </cell>
          <cell r="CD109" t="b">
            <v>0</v>
          </cell>
          <cell r="CI109">
            <v>11</v>
          </cell>
          <cell r="CJ109" t="e">
            <v>#N/A</v>
          </cell>
          <cell r="CK109">
            <v>0</v>
          </cell>
          <cell r="CL109" t="str">
            <v/>
          </cell>
          <cell r="CM109" t="str">
            <v/>
          </cell>
          <cell r="CN109" t="str">
            <v/>
          </cell>
          <cell r="CO109" t="str">
            <v/>
          </cell>
          <cell r="CP109" t="str">
            <v/>
          </cell>
          <cell r="CQ109" t="str">
            <v/>
          </cell>
          <cell r="CR109" t="str">
            <v/>
          </cell>
          <cell r="CS109" t="str">
            <v/>
          </cell>
          <cell r="CT109" t="str">
            <v/>
          </cell>
          <cell r="CU109" t="str">
            <v/>
          </cell>
          <cell r="CV109" t="str">
            <v>--</v>
          </cell>
          <cell r="CW109" t="str">
            <v>--</v>
          </cell>
          <cell r="CX109" t="str">
            <v>--</v>
          </cell>
          <cell r="CY109" t="str">
            <v>--</v>
          </cell>
          <cell r="CZ109" t="str">
            <v>--</v>
          </cell>
          <cell r="DA109" t="str">
            <v>--</v>
          </cell>
          <cell r="DB109" t="str">
            <v>--</v>
          </cell>
          <cell r="DC109" t="str">
            <v>--</v>
          </cell>
          <cell r="DD109" t="str">
            <v>--</v>
          </cell>
          <cell r="DE109" t="str">
            <v>--</v>
          </cell>
        </row>
        <row r="110">
          <cell r="A110" t="str">
            <v>Fighter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10</v>
          </cell>
          <cell r="H110">
            <v>2</v>
          </cell>
          <cell r="I110" t="str">
            <v/>
          </cell>
          <cell r="J110" t="str">
            <v xml:space="preserve">Fighter Features:
</v>
          </cell>
          <cell r="K110" t="str">
            <v xml:space="preserve">simple and martial weapon proficiency;
</v>
          </cell>
          <cell r="L110" t="str">
            <v xml:space="preserve">all armor and shield proficiency;
</v>
          </cell>
          <cell r="M110" t="str">
            <v xml:space="preserve">1 bonus feats;
</v>
          </cell>
          <cell r="N110" t="str">
            <v xml:space="preserve">weapon specialization: may take Weapon Specialization as a feat or bonus feat
</v>
          </cell>
          <cell r="AI110" t="str">
            <v xml:space="preserve">
</v>
          </cell>
          <cell r="AO110" t="b">
            <v>0</v>
          </cell>
          <cell r="AQ110" t="b">
            <v>0</v>
          </cell>
          <cell r="AR110" t="b">
            <v>0</v>
          </cell>
          <cell r="AZ110" t="b">
            <v>0</v>
          </cell>
          <cell r="BC110" t="b">
            <v>0</v>
          </cell>
          <cell r="BD110" t="b">
            <v>0</v>
          </cell>
          <cell r="BE110" t="b">
            <v>1</v>
          </cell>
          <cell r="BF110" t="b">
            <v>1</v>
          </cell>
          <cell r="BG110" t="b">
            <v>1</v>
          </cell>
          <cell r="BH110" t="b">
            <v>1</v>
          </cell>
          <cell r="BI110" t="b">
            <v>1</v>
          </cell>
          <cell r="BJ110" t="b">
            <v>1</v>
          </cell>
          <cell r="BK110" t="b">
            <v>1</v>
          </cell>
          <cell r="BL110" t="b">
            <v>1</v>
          </cell>
          <cell r="BM110" t="b">
            <v>1</v>
          </cell>
          <cell r="BN110" t="b">
            <v>1</v>
          </cell>
          <cell r="BO110" t="b">
            <v>1</v>
          </cell>
          <cell r="BV110" t="b">
            <v>0</v>
          </cell>
          <cell r="BZ110" t="b">
            <v>0</v>
          </cell>
          <cell r="CD110" t="b">
            <v>0</v>
          </cell>
        </row>
        <row r="111">
          <cell r="A111" t="str">
            <v>Monk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8</v>
          </cell>
          <cell r="H111">
            <v>4</v>
          </cell>
          <cell r="I111" t="str">
            <v/>
          </cell>
          <cell r="J111" t="str">
            <v xml:space="preserve">Monk Features:
</v>
          </cell>
          <cell r="K111" t="str">
            <v xml:space="preserve">proficient with club, crossbow (light or heavy), dagger, handaxe, javelin, kama, nunchaku, quarterstaff, shuriken, siangham &amp; sling;
</v>
          </cell>
          <cell r="L111" t="str">
            <v xml:space="preserve">+1 bonus to AC, even if Dex bonus is lost;
</v>
          </cell>
          <cell r="M111" t="str">
            <v xml:space="preserve">1d3 damage in unarmed combat;
</v>
          </cell>
          <cell r="N111" t="str">
            <v xml:space="preserve">flurry of blows: may make one additional attack each round at the highest base attack, but all attacks made in the round suffer a
    -2 penalty;
</v>
          </cell>
          <cell r="O111" t="str">
            <v xml:space="preserve">stunning attack (su): stun opponents for one round (DC11 Fort save), 0 times per day;
</v>
          </cell>
          <cell r="P111" t="str">
            <v/>
          </cell>
          <cell r="Q111" t="str">
            <v/>
          </cell>
          <cell r="R111" t="str">
            <v/>
          </cell>
          <cell r="S111" t="str">
            <v/>
          </cell>
          <cell r="T111" t="str">
            <v/>
          </cell>
          <cell r="U111" t="str">
            <v/>
          </cell>
          <cell r="V111" t="str">
            <v/>
          </cell>
          <cell r="W111" t="str">
            <v/>
          </cell>
          <cell r="X111" t="str">
            <v/>
          </cell>
          <cell r="Y111" t="str">
            <v/>
          </cell>
          <cell r="Z111" t="str">
            <v/>
          </cell>
          <cell r="AA111" t="str">
            <v/>
          </cell>
          <cell r="AB111" t="str">
            <v/>
          </cell>
          <cell r="AC111" t="str">
            <v/>
          </cell>
          <cell r="AD111" t="str">
            <v/>
          </cell>
          <cell r="AE111" t="str">
            <v/>
          </cell>
          <cell r="AF111" t="str">
            <v xml:space="preserve">alignment must be lawful;
</v>
          </cell>
          <cell r="AI111" t="str">
            <v xml:space="preserve">
</v>
          </cell>
          <cell r="AM111" t="b">
            <v>0</v>
          </cell>
          <cell r="AO111" t="b">
            <v>0</v>
          </cell>
          <cell r="AP111" t="b">
            <v>0</v>
          </cell>
          <cell r="AQ111" t="b">
            <v>0</v>
          </cell>
          <cell r="AR111" t="b">
            <v>0</v>
          </cell>
          <cell r="AT111" t="b">
            <v>0</v>
          </cell>
          <cell r="AW111" t="b">
            <v>0</v>
          </cell>
          <cell r="BB111" t="b">
            <v>0</v>
          </cell>
          <cell r="BD111" t="b">
            <v>0</v>
          </cell>
          <cell r="BE111" t="b">
            <v>1</v>
          </cell>
          <cell r="BF111" t="b">
            <v>1</v>
          </cell>
          <cell r="BG111" t="b">
            <v>1</v>
          </cell>
          <cell r="BH111" t="b">
            <v>1</v>
          </cell>
          <cell r="BI111" t="b">
            <v>1</v>
          </cell>
          <cell r="BJ111" t="b">
            <v>1</v>
          </cell>
          <cell r="BK111" t="b">
            <v>1</v>
          </cell>
          <cell r="BL111" t="b">
            <v>1</v>
          </cell>
          <cell r="BM111" t="b">
            <v>1</v>
          </cell>
          <cell r="BN111" t="b">
            <v>1</v>
          </cell>
          <cell r="BO111" t="b">
            <v>1</v>
          </cell>
          <cell r="BP111" t="b">
            <v>0</v>
          </cell>
          <cell r="BQ111" t="b">
            <v>0</v>
          </cell>
          <cell r="BS111" t="b">
            <v>0</v>
          </cell>
          <cell r="BT111" t="b">
            <v>0</v>
          </cell>
          <cell r="BZ111" t="b">
            <v>0</v>
          </cell>
          <cell r="CD111" t="b">
            <v>0</v>
          </cell>
          <cell r="CE111" t="b">
            <v>0</v>
          </cell>
        </row>
        <row r="112">
          <cell r="A112" t="str">
            <v>Paladin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10</v>
          </cell>
          <cell r="H112">
            <v>2</v>
          </cell>
          <cell r="I112" t="str">
            <v/>
          </cell>
          <cell r="J112" t="str">
            <v xml:space="preserve">Paladin Features:
</v>
          </cell>
          <cell r="K112" t="str">
            <v xml:space="preserve">simple and martial weapon proficiency;
</v>
          </cell>
          <cell r="L112" t="str">
            <v xml:space="preserve">all armor and shield proficiency;
</v>
          </cell>
          <cell r="M112" t="str">
            <v xml:space="preserve">detect evil (sp): detect the presence of evil at will;
</v>
          </cell>
          <cell r="N112" t="str">
            <v/>
          </cell>
          <cell r="O112" t="str">
            <v/>
          </cell>
          <cell r="P112" t="str">
            <v/>
          </cell>
          <cell r="Q112" t="str">
            <v/>
          </cell>
          <cell r="R112" t="str">
            <v/>
          </cell>
          <cell r="S112" t="str">
            <v/>
          </cell>
          <cell r="T112" t="str">
            <v/>
          </cell>
          <cell r="U112" t="str">
            <v xml:space="preserve">may take Extra Turning as a feat;
</v>
          </cell>
          <cell r="V112" t="str">
            <v/>
          </cell>
          <cell r="W112" t="str">
            <v xml:space="preserve">alignment must be lawful good;
</v>
          </cell>
          <cell r="AI112" t="str">
            <v xml:space="preserve">
</v>
          </cell>
          <cell r="AP112" t="b">
            <v>0</v>
          </cell>
          <cell r="AQ112" t="b">
            <v>0</v>
          </cell>
          <cell r="AR112" t="b">
            <v>0</v>
          </cell>
          <cell r="AT112" t="b">
            <v>0</v>
          </cell>
          <cell r="AZ112" t="b">
            <v>0</v>
          </cell>
          <cell r="BA112" t="b">
            <v>0</v>
          </cell>
          <cell r="BE112" t="b">
            <v>1</v>
          </cell>
          <cell r="BF112" t="b">
            <v>1</v>
          </cell>
          <cell r="BG112" t="b">
            <v>1</v>
          </cell>
          <cell r="BH112" t="b">
            <v>1</v>
          </cell>
          <cell r="BI112" t="b">
            <v>1</v>
          </cell>
          <cell r="BJ112" t="b">
            <v>1</v>
          </cell>
          <cell r="BK112" t="b">
            <v>1</v>
          </cell>
          <cell r="BL112" t="b">
            <v>1</v>
          </cell>
          <cell r="BM112" t="b">
            <v>1</v>
          </cell>
          <cell r="BN112" t="b">
            <v>1</v>
          </cell>
          <cell r="BO112" t="b">
            <v>1</v>
          </cell>
          <cell r="BT112" t="b">
            <v>0</v>
          </cell>
          <cell r="BV112" t="b">
            <v>0</v>
          </cell>
          <cell r="BZ112" t="b">
            <v>0</v>
          </cell>
          <cell r="CI112">
            <v>11</v>
          </cell>
          <cell r="CJ112" t="e">
            <v>#N/A</v>
          </cell>
          <cell r="CK112">
            <v>0</v>
          </cell>
          <cell r="CL112" t="str">
            <v>--</v>
          </cell>
          <cell r="CM112" t="str">
            <v/>
          </cell>
          <cell r="CN112" t="str">
            <v/>
          </cell>
          <cell r="CO112" t="str">
            <v/>
          </cell>
          <cell r="CP112" t="str">
            <v/>
          </cell>
          <cell r="CQ112" t="str">
            <v>--</v>
          </cell>
          <cell r="CR112" t="str">
            <v>--</v>
          </cell>
          <cell r="CS112" t="str">
            <v>--</v>
          </cell>
          <cell r="CT112" t="str">
            <v>--</v>
          </cell>
          <cell r="CU112" t="str">
            <v>--</v>
          </cell>
          <cell r="CV112" t="str">
            <v>--</v>
          </cell>
          <cell r="CW112" t="str">
            <v>--</v>
          </cell>
          <cell r="CX112" t="str">
            <v>--</v>
          </cell>
          <cell r="CY112" t="str">
            <v>--</v>
          </cell>
          <cell r="CZ112" t="str">
            <v>--</v>
          </cell>
          <cell r="DA112" t="str">
            <v>--</v>
          </cell>
          <cell r="DB112" t="str">
            <v>--</v>
          </cell>
          <cell r="DC112" t="str">
            <v>--</v>
          </cell>
          <cell r="DD112" t="str">
            <v>--</v>
          </cell>
          <cell r="DE112" t="str">
            <v>--</v>
          </cell>
        </row>
        <row r="113">
          <cell r="A113" t="str">
            <v>Ranger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8</v>
          </cell>
          <cell r="H113">
            <v>6</v>
          </cell>
          <cell r="I113" t="str">
            <v/>
          </cell>
          <cell r="J113" t="str">
            <v xml:space="preserve">Ranger Features:
</v>
          </cell>
          <cell r="K113" t="str">
            <v xml:space="preserve">simple and martial weapon proficiency;
</v>
          </cell>
          <cell r="L113" t="str">
            <v xml:space="preserve">light and medium armor and shield proficiency;
</v>
          </cell>
          <cell r="M113" t="str">
            <v xml:space="preserve">gains Track as a bonus feat;
</v>
          </cell>
          <cell r="N113" t="str">
            <v xml:space="preserve">Wild Empathy:  may improve the attitude of an animal using body language, vocalizations and demeanor
    check result equals 1d20 + 0;
</v>
          </cell>
          <cell r="O113" t="str">
            <v/>
          </cell>
          <cell r="P113" t="str">
            <v/>
          </cell>
          <cell r="Q113" t="str">
            <v/>
          </cell>
          <cell r="R113" t="str">
            <v/>
          </cell>
          <cell r="S113" t="str">
            <v/>
          </cell>
          <cell r="T113" t="str">
            <v/>
          </cell>
          <cell r="U113" t="str">
            <v/>
          </cell>
          <cell r="V113" t="str">
            <v/>
          </cell>
          <cell r="W113" t="str">
            <v/>
          </cell>
          <cell r="X113" t="str">
            <v/>
          </cell>
          <cell r="Y113" t="str">
            <v/>
          </cell>
          <cell r="Z113" t="str">
            <v/>
          </cell>
          <cell r="AA113" t="str">
            <v/>
          </cell>
          <cell r="AB113" t="str">
            <v/>
          </cell>
          <cell r="AC113" t="str">
            <v/>
          </cell>
          <cell r="AD113" t="str">
            <v/>
          </cell>
          <cell r="AI113" t="str">
            <v xml:space="preserve">
</v>
          </cell>
          <cell r="AO113" t="b">
            <v>0</v>
          </cell>
          <cell r="AP113" t="b">
            <v>0</v>
          </cell>
          <cell r="AQ113" t="b">
            <v>0</v>
          </cell>
          <cell r="AR113" t="b">
            <v>0</v>
          </cell>
          <cell r="AZ113" t="b">
            <v>0</v>
          </cell>
          <cell r="BA113" t="b">
            <v>0</v>
          </cell>
          <cell r="BB113" t="b">
            <v>0</v>
          </cell>
          <cell r="BD113" t="b">
            <v>0</v>
          </cell>
          <cell r="BE113" t="b">
            <v>1</v>
          </cell>
          <cell r="BF113" t="b">
            <v>1</v>
          </cell>
          <cell r="BG113" t="b">
            <v>1</v>
          </cell>
          <cell r="BH113" t="b">
            <v>1</v>
          </cell>
          <cell r="BI113" t="b">
            <v>1</v>
          </cell>
          <cell r="BJ113" t="b">
            <v>1</v>
          </cell>
          <cell r="BK113" t="b">
            <v>1</v>
          </cell>
          <cell r="BL113" t="b">
            <v>1</v>
          </cell>
          <cell r="BM113" t="b">
            <v>1</v>
          </cell>
          <cell r="BN113" t="b">
            <v>1</v>
          </cell>
          <cell r="BO113" t="b">
            <v>1</v>
          </cell>
          <cell r="BP113" t="b">
            <v>0</v>
          </cell>
          <cell r="BQ113" t="b">
            <v>0</v>
          </cell>
          <cell r="BT113" t="b">
            <v>0</v>
          </cell>
          <cell r="BV113" t="b">
            <v>0</v>
          </cell>
          <cell r="BW113" t="b">
            <v>0</v>
          </cell>
          <cell r="BZ113" t="b">
            <v>0</v>
          </cell>
          <cell r="CB113" t="b">
            <v>0</v>
          </cell>
          <cell r="CC113" t="b">
            <v>0</v>
          </cell>
          <cell r="CD113" t="b">
            <v>0</v>
          </cell>
          <cell r="CH113" t="b">
            <v>0</v>
          </cell>
          <cell r="CI113">
            <v>11</v>
          </cell>
          <cell r="CJ113" t="e">
            <v>#N/A</v>
          </cell>
          <cell r="CK113">
            <v>0</v>
          </cell>
          <cell r="CL113" t="str">
            <v>--</v>
          </cell>
          <cell r="CM113" t="str">
            <v/>
          </cell>
          <cell r="CN113" t="str">
            <v/>
          </cell>
          <cell r="CO113" t="str">
            <v/>
          </cell>
          <cell r="CP113" t="str">
            <v/>
          </cell>
          <cell r="CQ113" t="str">
            <v>--</v>
          </cell>
          <cell r="CR113" t="str">
            <v>--</v>
          </cell>
          <cell r="CS113" t="str">
            <v>--</v>
          </cell>
          <cell r="CT113" t="str">
            <v>--</v>
          </cell>
          <cell r="CU113" t="str">
            <v>--</v>
          </cell>
          <cell r="CV113" t="str">
            <v>--</v>
          </cell>
          <cell r="CW113" t="str">
            <v>--</v>
          </cell>
          <cell r="CX113" t="str">
            <v>--</v>
          </cell>
          <cell r="CY113" t="str">
            <v>--</v>
          </cell>
          <cell r="CZ113" t="str">
            <v>--</v>
          </cell>
          <cell r="DA113" t="str">
            <v>--</v>
          </cell>
          <cell r="DB113" t="str">
            <v>--</v>
          </cell>
          <cell r="DC113" t="str">
            <v>--</v>
          </cell>
          <cell r="DD113" t="str">
            <v>--</v>
          </cell>
          <cell r="DE113" t="str">
            <v>--</v>
          </cell>
        </row>
        <row r="114">
          <cell r="A114" t="str">
            <v>Rogue</v>
          </cell>
          <cell r="B114">
            <v>3</v>
          </cell>
          <cell r="C114">
            <v>1</v>
          </cell>
          <cell r="D114">
            <v>3.5</v>
          </cell>
          <cell r="E114">
            <v>1</v>
          </cell>
          <cell r="F114">
            <v>2.25</v>
          </cell>
          <cell r="G114">
            <v>6</v>
          </cell>
          <cell r="H114">
            <v>8</v>
          </cell>
          <cell r="I114" t="str">
            <v xml:space="preserve">Rogue Features:
proficient with club, crossbow (hand, heavy or light), dagger, dart, mace (heavy or light), morningstar, quarterstaff, rapier, sap,
    shortbow (normal or composite) and shortsword;
light armor proficiency;
sneak attack: +2d6 damage when </v>
          </cell>
          <cell r="J114" t="str">
            <v xml:space="preserve">Rogue Features:
</v>
          </cell>
          <cell r="K114" t="str">
            <v xml:space="preserve">proficient with club, crossbow (hand, heavy or light), dagger, dart, mace (heavy or light), morningstar, quarterstaff, rapier, sap,
    shortbow (normal or composite) and shortsword;
</v>
          </cell>
          <cell r="L114" t="str">
            <v xml:space="preserve">light armor proficiency;
</v>
          </cell>
          <cell r="M114" t="str">
            <v xml:space="preserve">sneak attack: +2d6 damage when flanking or attacking an opponent denied a Dex bonus to AC;
</v>
          </cell>
          <cell r="N114" t="str">
            <v xml:space="preserve">locate traps: may use Search to locate traps of DC greater than 20;
</v>
          </cell>
          <cell r="O114" t="str">
            <v xml:space="preserve">evasion: (2nd) take no damage from a Reflex save that normally does half damage;
</v>
          </cell>
          <cell r="P114" t="str">
            <v xml:space="preserve">Trapsense: (3rd) +1 bonus on Reflex Saves and AC vs Traps;
</v>
          </cell>
          <cell r="Q114" t="str">
            <v/>
          </cell>
          <cell r="R114" t="str">
            <v/>
          </cell>
          <cell r="S114" t="str">
            <v/>
          </cell>
          <cell r="T114" t="str">
            <v/>
          </cell>
          <cell r="AI114" t="str">
            <v xml:space="preserve">
</v>
          </cell>
          <cell r="AK114" t="b">
            <v>1</v>
          </cell>
          <cell r="AM114" t="b">
            <v>1</v>
          </cell>
          <cell r="AN114" t="b">
            <v>1</v>
          </cell>
          <cell r="AO114" t="b">
            <v>1</v>
          </cell>
          <cell r="AQ114" t="b">
            <v>1</v>
          </cell>
          <cell r="AR114" t="b">
            <v>1</v>
          </cell>
          <cell r="AS114" t="b">
            <v>1</v>
          </cell>
          <cell r="AT114" t="b">
            <v>1</v>
          </cell>
          <cell r="AU114" t="b">
            <v>1</v>
          </cell>
          <cell r="AV114" t="b">
            <v>1</v>
          </cell>
          <cell r="AW114" t="b">
            <v>1</v>
          </cell>
          <cell r="AX114" t="b">
            <v>1</v>
          </cell>
          <cell r="AY114" t="b">
            <v>1</v>
          </cell>
          <cell r="BB114" t="b">
            <v>1</v>
          </cell>
          <cell r="BC114" t="b">
            <v>1</v>
          </cell>
          <cell r="BD114" t="b">
            <v>1</v>
          </cell>
          <cell r="BE114" t="b">
            <v>1</v>
          </cell>
          <cell r="BF114" t="b">
            <v>1</v>
          </cell>
          <cell r="BG114" t="b">
            <v>1</v>
          </cell>
          <cell r="BH114" t="b">
            <v>1</v>
          </cell>
          <cell r="BI114" t="b">
            <v>1</v>
          </cell>
          <cell r="BJ114" t="b">
            <v>1</v>
          </cell>
          <cell r="BK114" t="b">
            <v>1</v>
          </cell>
          <cell r="BL114" t="b">
            <v>1</v>
          </cell>
          <cell r="BM114" t="b">
            <v>1</v>
          </cell>
          <cell r="BN114" t="b">
            <v>1</v>
          </cell>
          <cell r="BO114" t="b">
            <v>1</v>
          </cell>
          <cell r="BP114" t="b">
            <v>1</v>
          </cell>
          <cell r="BQ114" t="b">
            <v>1</v>
          </cell>
          <cell r="BR114" t="b">
            <v>1</v>
          </cell>
          <cell r="BS114" t="b">
            <v>1</v>
          </cell>
          <cell r="BT114" t="b">
            <v>1</v>
          </cell>
          <cell r="BW114" t="b">
            <v>1</v>
          </cell>
          <cell r="BX114" t="b">
            <v>1</v>
          </cell>
          <cell r="BY114" t="b">
            <v>1</v>
          </cell>
          <cell r="BZ114" t="b">
            <v>1</v>
          </cell>
          <cell r="CB114" t="b">
            <v>1</v>
          </cell>
          <cell r="CD114" t="b">
            <v>1</v>
          </cell>
          <cell r="CE114" t="b">
            <v>1</v>
          </cell>
          <cell r="CF114" t="b">
            <v>1</v>
          </cell>
          <cell r="CG114" t="b">
            <v>1</v>
          </cell>
          <cell r="CH114" t="b">
            <v>1</v>
          </cell>
        </row>
        <row r="115">
          <cell r="A115" t="str">
            <v>Sorcerer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4</v>
          </cell>
          <cell r="H115">
            <v>2</v>
          </cell>
          <cell r="I115" t="str">
            <v/>
          </cell>
          <cell r="J115" t="str">
            <v xml:space="preserve">Sorcerer Features:
</v>
          </cell>
          <cell r="K115" t="str">
            <v xml:space="preserve">simple weapon proficiency;
</v>
          </cell>
          <cell r="L115" t="str">
            <v xml:space="preserve">familiar: may call a familiar as a companion
</v>
          </cell>
          <cell r="AI115" t="str">
            <v xml:space="preserve">
</v>
          </cell>
          <cell r="AN115" t="b">
            <v>0</v>
          </cell>
          <cell r="AP115" t="b">
            <v>0</v>
          </cell>
          <cell r="AQ115" t="b">
            <v>0</v>
          </cell>
          <cell r="AR115" t="b">
            <v>0</v>
          </cell>
          <cell r="BE115" t="b">
            <v>1</v>
          </cell>
          <cell r="BF115" t="b">
            <v>1</v>
          </cell>
          <cell r="BG115" t="b">
            <v>1</v>
          </cell>
          <cell r="BH115" t="b">
            <v>1</v>
          </cell>
          <cell r="BI115" t="b">
            <v>1</v>
          </cell>
          <cell r="BJ115" t="b">
            <v>1</v>
          </cell>
          <cell r="BK115" t="b">
            <v>1</v>
          </cell>
          <cell r="BL115" t="b">
            <v>1</v>
          </cell>
          <cell r="BM115" t="b">
            <v>1</v>
          </cell>
          <cell r="BN115" t="b">
            <v>1</v>
          </cell>
          <cell r="BO115" t="b">
            <v>1</v>
          </cell>
          <cell r="BT115" t="b">
            <v>0</v>
          </cell>
          <cell r="BZ115" t="b">
            <v>0</v>
          </cell>
          <cell r="CA115" t="b">
            <v>0</v>
          </cell>
          <cell r="CI115">
            <v>10</v>
          </cell>
          <cell r="CJ115" t="e">
            <v>#N/A</v>
          </cell>
          <cell r="CK115">
            <v>0</v>
          </cell>
          <cell r="CL115" t="str">
            <v/>
          </cell>
          <cell r="CM115" t="str">
            <v/>
          </cell>
          <cell r="CN115" t="str">
            <v/>
          </cell>
          <cell r="CO115" t="str">
            <v/>
          </cell>
          <cell r="CP115" t="str">
            <v/>
          </cell>
          <cell r="CQ115" t="str">
            <v/>
          </cell>
          <cell r="CR115" t="str">
            <v/>
          </cell>
          <cell r="CS115" t="str">
            <v/>
          </cell>
          <cell r="CT115" t="str">
            <v/>
          </cell>
          <cell r="CU115" t="str">
            <v/>
          </cell>
          <cell r="CV115" t="str">
            <v/>
          </cell>
          <cell r="CW115" t="str">
            <v/>
          </cell>
          <cell r="CX115" t="str">
            <v/>
          </cell>
          <cell r="CY115" t="str">
            <v/>
          </cell>
          <cell r="CZ115" t="str">
            <v/>
          </cell>
          <cell r="DA115" t="str">
            <v/>
          </cell>
          <cell r="DB115" t="str">
            <v/>
          </cell>
          <cell r="DC115" t="str">
            <v/>
          </cell>
          <cell r="DD115" t="str">
            <v/>
          </cell>
          <cell r="DE115" t="str">
            <v/>
          </cell>
        </row>
        <row r="116">
          <cell r="A116" t="str">
            <v>Wizard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4</v>
          </cell>
          <cell r="H116">
            <v>2</v>
          </cell>
          <cell r="I116" t="str">
            <v/>
          </cell>
          <cell r="J116" t="str">
            <v xml:space="preserve">Wizard Features:
</v>
          </cell>
          <cell r="K116" t="str">
            <v xml:space="preserve">proficient with club, crossbow (heavy or light), dagger and quarterstaff;
</v>
          </cell>
          <cell r="L116" t="str">
            <v xml:space="preserve">may learn Draconic as a bonus language;
</v>
          </cell>
          <cell r="M116" t="str">
            <v xml:space="preserve">familiar: may call a familiar as a companion;
</v>
          </cell>
          <cell r="N116" t="str">
            <v xml:space="preserve">gains Scribe Scroll as a bonus feat;
</v>
          </cell>
          <cell r="O116" t="str">
            <v xml:space="preserve">0 bonus feats (metamagic, item creation or Spell Mastery);
</v>
          </cell>
          <cell r="P116" t="str">
            <v xml:space="preserve">may take Spell Mastery as a feat
</v>
          </cell>
          <cell r="AI116" t="str">
            <v xml:space="preserve">
</v>
          </cell>
          <cell r="AP116" t="b">
            <v>0</v>
          </cell>
          <cell r="AQ116" t="b">
            <v>0</v>
          </cell>
          <cell r="AR116" t="b">
            <v>0</v>
          </cell>
          <cell r="AS116" t="b">
            <v>0</v>
          </cell>
          <cell r="BE116" t="b">
            <v>1</v>
          </cell>
          <cell r="BF116" t="b">
            <v>1</v>
          </cell>
          <cell r="BG116" t="b">
            <v>1</v>
          </cell>
          <cell r="BH116" t="b">
            <v>1</v>
          </cell>
          <cell r="BI116" t="b">
            <v>1</v>
          </cell>
          <cell r="BJ116" t="b">
            <v>1</v>
          </cell>
          <cell r="BK116" t="b">
            <v>1</v>
          </cell>
          <cell r="BL116" t="b">
            <v>1</v>
          </cell>
          <cell r="BM116" t="b">
            <v>1</v>
          </cell>
          <cell r="BN116" t="b">
            <v>1</v>
          </cell>
          <cell r="BO116" t="b">
            <v>1</v>
          </cell>
          <cell r="BT116" t="b">
            <v>0</v>
          </cell>
          <cell r="BZ116" t="b">
            <v>0</v>
          </cell>
          <cell r="CA116" t="b">
            <v>0</v>
          </cell>
          <cell r="CI116">
            <v>14</v>
          </cell>
          <cell r="CJ116" t="e">
            <v>#N/A</v>
          </cell>
          <cell r="CK116">
            <v>0</v>
          </cell>
          <cell r="CL116" t="str">
            <v/>
          </cell>
          <cell r="CM116" t="str">
            <v/>
          </cell>
          <cell r="CN116" t="str">
            <v/>
          </cell>
          <cell r="CO116" t="str">
            <v/>
          </cell>
          <cell r="CP116" t="str">
            <v/>
          </cell>
          <cell r="CQ116" t="str">
            <v/>
          </cell>
          <cell r="CR116" t="str">
            <v/>
          </cell>
          <cell r="CS116" t="str">
            <v/>
          </cell>
          <cell r="CT116" t="str">
            <v/>
          </cell>
          <cell r="CU116" t="str">
            <v/>
          </cell>
          <cell r="CV116" t="str">
            <v>A</v>
          </cell>
          <cell r="CW116" t="str">
            <v/>
          </cell>
        </row>
        <row r="117">
          <cell r="A117" t="str">
            <v>-- Alt Core Classes --</v>
          </cell>
          <cell r="BZ117" t="b">
            <v>0</v>
          </cell>
        </row>
        <row r="118">
          <cell r="A118" t="str">
            <v>Artificer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6</v>
          </cell>
          <cell r="H118">
            <v>4</v>
          </cell>
          <cell r="I118" t="str">
            <v/>
          </cell>
          <cell r="J118" t="str">
            <v xml:space="preserve">Artificer Features:
</v>
          </cell>
          <cell r="K118" t="str">
            <v xml:space="preserve">simple weapon proficiency;
</v>
          </cell>
          <cell r="L118" t="str">
            <v xml:space="preserve">light and medium armor and shield proficiency;
</v>
          </cell>
          <cell r="M118" t="str">
            <v xml:space="preserve">Artificer Knowledge:  by making holding an item for 1 round and making a d20+4 check against a DC of 15, 
  an artificer can determine the presence of magical auras in an object;
</v>
          </cell>
          <cell r="N118" t="str">
            <v xml:space="preserve">Craft Reserve:  artificers gain craft points usable in lieu of experience points when crafting items;
</v>
          </cell>
          <cell r="O118" t="str">
            <v xml:space="preserve">Artisan Bonus:  +2 bonus of use magic device to active items for which an artificer posssess the creation feat;
</v>
          </cell>
          <cell r="P118" t="str">
            <v xml:space="preserve">Trapfinder: may use Search to locate traps of DC greater than 20;
</v>
          </cell>
          <cell r="Q118" t="str">
            <v xml:space="preserve">Item Creation (ex):  An artificer may create items that he does not possess the prequisite spells to;
</v>
          </cell>
          <cell r="R118" t="str">
            <v xml:space="preserve">Bonus Feats:
  Scribe Scroll;
</v>
          </cell>
          <cell r="S118" t="str">
            <v/>
          </cell>
          <cell r="T118" t="str">
            <v/>
          </cell>
          <cell r="U118" t="str">
            <v/>
          </cell>
          <cell r="V118" t="str">
            <v/>
          </cell>
          <cell r="W118" t="str">
            <v/>
          </cell>
          <cell r="X118" t="str">
            <v xml:space="preserve">Spell Mastery:  (13th)  may take a 10 on spellcraft of use magic devices even under duress or stress;
</v>
          </cell>
          <cell r="AI118" t="str">
            <v xml:space="preserve">
</v>
          </cell>
          <cell r="AK118" t="b">
            <v>0</v>
          </cell>
          <cell r="AP118" t="b">
            <v>0</v>
          </cell>
          <cell r="AU118" t="b">
            <v>0</v>
          </cell>
          <cell r="BE118" t="b">
            <v>1</v>
          </cell>
          <cell r="BF118" t="b">
            <v>1</v>
          </cell>
          <cell r="BG118" t="b">
            <v>1</v>
          </cell>
          <cell r="BH118" t="b">
            <v>1</v>
          </cell>
          <cell r="BI118" t="b">
            <v>1</v>
          </cell>
          <cell r="BJ118" t="b">
            <v>1</v>
          </cell>
          <cell r="BK118" t="b">
            <v>1</v>
          </cell>
          <cell r="BL118" t="b">
            <v>1</v>
          </cell>
          <cell r="BM118" t="b">
            <v>1</v>
          </cell>
          <cell r="BN118" t="b">
            <v>1</v>
          </cell>
          <cell r="BO118" t="b">
            <v>1</v>
          </cell>
          <cell r="BR118" t="b">
            <v>0</v>
          </cell>
          <cell r="BT118" t="b">
            <v>0</v>
          </cell>
          <cell r="BW118" t="b">
            <v>0</v>
          </cell>
          <cell r="CA118" t="b">
            <v>0</v>
          </cell>
          <cell r="CF118" t="b">
            <v>0</v>
          </cell>
          <cell r="CI118">
            <v>14</v>
          </cell>
          <cell r="CJ118" t="e">
            <v>#N/A</v>
          </cell>
          <cell r="CK118">
            <v>0</v>
          </cell>
          <cell r="CL118" t="str">
            <v>--</v>
          </cell>
          <cell r="CM118" t="str">
            <v/>
          </cell>
          <cell r="CN118" t="str">
            <v/>
          </cell>
          <cell r="CO118" t="str">
            <v/>
          </cell>
          <cell r="CP118" t="str">
            <v/>
          </cell>
          <cell r="CQ118" t="str">
            <v/>
          </cell>
          <cell r="CR118" t="str">
            <v/>
          </cell>
          <cell r="CS118" t="str">
            <v>--</v>
          </cell>
          <cell r="CT118" t="str">
            <v>--</v>
          </cell>
          <cell r="CU118" t="str">
            <v>--</v>
          </cell>
          <cell r="CV118" t="str">
            <v>--</v>
          </cell>
          <cell r="CW118" t="str">
            <v>--</v>
          </cell>
          <cell r="CX118" t="str">
            <v>--</v>
          </cell>
          <cell r="CY118" t="str">
            <v>--</v>
          </cell>
          <cell r="CZ118" t="str">
            <v>--</v>
          </cell>
          <cell r="DA118" t="str">
            <v>--</v>
          </cell>
          <cell r="DB118" t="str">
            <v>--</v>
          </cell>
          <cell r="DC118" t="str">
            <v>--</v>
          </cell>
          <cell r="DD118" t="str">
            <v>--</v>
          </cell>
          <cell r="DE118" t="str">
            <v>--</v>
          </cell>
        </row>
        <row r="119">
          <cell r="A119" t="str">
            <v>Expert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6</v>
          </cell>
          <cell r="H119">
            <v>6</v>
          </cell>
          <cell r="I119" t="str">
            <v/>
          </cell>
          <cell r="J119" t="str">
            <v xml:space="preserve">Expert Features:
</v>
          </cell>
          <cell r="K119" t="str">
            <v xml:space="preserve">simple weapon proficiency, one martial weapon proficiency;
</v>
          </cell>
          <cell r="L119" t="str">
            <v xml:space="preserve">light armor proficiency;
</v>
          </cell>
          <cell r="AI119" t="str">
            <v xml:space="preserve">
</v>
          </cell>
          <cell r="AK119" t="b">
            <v>0</v>
          </cell>
          <cell r="AL119" t="b">
            <v>0</v>
          </cell>
          <cell r="AM119" t="b">
            <v>0</v>
          </cell>
          <cell r="AN119" t="b">
            <v>0</v>
          </cell>
          <cell r="AO119" t="b">
            <v>0</v>
          </cell>
          <cell r="AP119" t="b">
            <v>0</v>
          </cell>
          <cell r="AQ119" t="b">
            <v>0</v>
          </cell>
          <cell r="AR119" t="b">
            <v>0</v>
          </cell>
          <cell r="AS119" t="b">
            <v>0</v>
          </cell>
          <cell r="AT119" t="b">
            <v>0</v>
          </cell>
          <cell r="AU119" t="b">
            <v>0</v>
          </cell>
          <cell r="AV119" t="b">
            <v>0</v>
          </cell>
          <cell r="AW119" t="b">
            <v>0</v>
          </cell>
          <cell r="AX119" t="b">
            <v>0</v>
          </cell>
          <cell r="AY119" t="b">
            <v>0</v>
          </cell>
          <cell r="AZ119" t="b">
            <v>0</v>
          </cell>
          <cell r="BA119" t="b">
            <v>0</v>
          </cell>
          <cell r="BB119" t="b">
            <v>0</v>
          </cell>
          <cell r="BC119" t="b">
            <v>0</v>
          </cell>
          <cell r="BD119" t="b">
            <v>0</v>
          </cell>
          <cell r="BE119" t="b">
            <v>1</v>
          </cell>
          <cell r="BF119" t="b">
            <v>1</v>
          </cell>
          <cell r="BG119" t="b">
            <v>1</v>
          </cell>
          <cell r="BH119" t="b">
            <v>1</v>
          </cell>
          <cell r="BI119" t="b">
            <v>1</v>
          </cell>
          <cell r="BJ119" t="b">
            <v>1</v>
          </cell>
          <cell r="BK119" t="b">
            <v>1</v>
          </cell>
          <cell r="BL119" t="b">
            <v>1</v>
          </cell>
          <cell r="BM119" t="b">
            <v>1</v>
          </cell>
          <cell r="BN119" t="b">
            <v>1</v>
          </cell>
          <cell r="BO119" t="b">
            <v>1</v>
          </cell>
          <cell r="BP119" t="b">
            <v>0</v>
          </cell>
          <cell r="BQ119" t="b">
            <v>0</v>
          </cell>
          <cell r="BR119" t="b">
            <v>0</v>
          </cell>
          <cell r="BS119" t="b">
            <v>0</v>
          </cell>
          <cell r="BT119" t="b">
            <v>0</v>
          </cell>
          <cell r="BU119" t="b">
            <v>0</v>
          </cell>
          <cell r="BV119" t="b">
            <v>0</v>
          </cell>
          <cell r="BW119" t="b">
            <v>0</v>
          </cell>
          <cell r="BX119" t="b">
            <v>0</v>
          </cell>
          <cell r="BY119" t="b">
            <v>0</v>
          </cell>
          <cell r="BZ119" t="b">
            <v>0</v>
          </cell>
          <cell r="CA119" t="b">
            <v>0</v>
          </cell>
          <cell r="CB119" t="b">
            <v>0</v>
          </cell>
          <cell r="CC119" t="b">
            <v>0</v>
          </cell>
          <cell r="CD119" t="b">
            <v>0</v>
          </cell>
          <cell r="CE119" t="b">
            <v>0</v>
          </cell>
          <cell r="CF119" t="b">
            <v>0</v>
          </cell>
          <cell r="CG119" t="b">
            <v>0</v>
          </cell>
          <cell r="CH119" t="b">
            <v>0</v>
          </cell>
        </row>
        <row r="120">
          <cell r="A120" t="str">
            <v>Favoured Soul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8</v>
          </cell>
          <cell r="H120">
            <v>2</v>
          </cell>
          <cell r="I120" t="str">
            <v/>
          </cell>
          <cell r="J120" t="str">
            <v xml:space="preserve">Favoured Soul Features:
</v>
          </cell>
          <cell r="K120" t="str">
            <v xml:space="preserve">simple weapon proficiency;
</v>
          </cell>
          <cell r="L120" t="str">
            <v xml:space="preserve">light and medium armor and shield proficiency (not tower shields);
</v>
          </cell>
          <cell r="M120" t="str">
            <v/>
          </cell>
          <cell r="N120" t="str">
            <v/>
          </cell>
          <cell r="O120" t="str">
            <v/>
          </cell>
          <cell r="P120" t="str">
            <v/>
          </cell>
          <cell r="AI120" t="str">
            <v xml:space="preserve">
</v>
          </cell>
          <cell r="AP120" t="b">
            <v>0</v>
          </cell>
          <cell r="AQ120" t="b">
            <v>0</v>
          </cell>
          <cell r="AR120" t="b">
            <v>0</v>
          </cell>
          <cell r="AT120" t="b">
            <v>0</v>
          </cell>
          <cell r="BA120" t="b">
            <v>0</v>
          </cell>
          <cell r="BD120" t="b">
            <v>0</v>
          </cell>
          <cell r="BE120" t="b">
            <v>1</v>
          </cell>
          <cell r="BF120" t="b">
            <v>1</v>
          </cell>
          <cell r="BG120" t="b">
            <v>1</v>
          </cell>
          <cell r="BH120" t="b">
            <v>1</v>
          </cell>
          <cell r="BI120" t="b">
            <v>1</v>
          </cell>
          <cell r="BJ120" t="b">
            <v>1</v>
          </cell>
          <cell r="BK120" t="b">
            <v>1</v>
          </cell>
          <cell r="BL120" t="b">
            <v>1</v>
          </cell>
          <cell r="BM120" t="b">
            <v>1</v>
          </cell>
          <cell r="BN120" t="b">
            <v>1</v>
          </cell>
          <cell r="BO120" t="b">
            <v>1</v>
          </cell>
          <cell r="BT120" t="b">
            <v>0</v>
          </cell>
          <cell r="BX120" t="b">
            <v>0</v>
          </cell>
          <cell r="CA120" t="str">
            <v>`</v>
          </cell>
          <cell r="CI120">
            <v>11</v>
          </cell>
          <cell r="CJ120" t="e">
            <v>#N/A</v>
          </cell>
          <cell r="CK120">
            <v>0</v>
          </cell>
          <cell r="CL120" t="str">
            <v/>
          </cell>
          <cell r="CM120" t="str">
            <v/>
          </cell>
          <cell r="CN120" t="str">
            <v/>
          </cell>
          <cell r="CO120" t="str">
            <v/>
          </cell>
          <cell r="CP120" t="str">
            <v/>
          </cell>
          <cell r="CQ120" t="str">
            <v/>
          </cell>
          <cell r="CR120" t="str">
            <v/>
          </cell>
          <cell r="CS120" t="str">
            <v/>
          </cell>
          <cell r="CT120" t="str">
            <v/>
          </cell>
          <cell r="CU120" t="str">
            <v/>
          </cell>
          <cell r="CV120" t="str">
            <v/>
          </cell>
          <cell r="CW120" t="str">
            <v/>
          </cell>
          <cell r="CX120" t="str">
            <v/>
          </cell>
          <cell r="CY120" t="str">
            <v/>
          </cell>
          <cell r="CZ120" t="str">
            <v/>
          </cell>
          <cell r="DA120" t="str">
            <v/>
          </cell>
          <cell r="DB120" t="str">
            <v/>
          </cell>
          <cell r="DC120" t="str">
            <v/>
          </cell>
          <cell r="DD120" t="str">
            <v/>
          </cell>
          <cell r="DE120" t="str">
            <v/>
          </cell>
        </row>
        <row r="121">
          <cell r="A121" t="str">
            <v>Healer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8</v>
          </cell>
          <cell r="H121">
            <v>4</v>
          </cell>
          <cell r="I121" t="str">
            <v/>
          </cell>
          <cell r="J121" t="str">
            <v xml:space="preserve">Healer Features:
</v>
          </cell>
          <cell r="K121" t="str">
            <v xml:space="preserve">simple weapon proficiency;
</v>
          </cell>
          <cell r="L121" t="str">
            <v xml:space="preserve">light armor proficiency;
</v>
          </cell>
          <cell r="M121" t="str">
            <v xml:space="preserve">Healing Hands (ex):  (1st)  heals an additional +"&amp;cchamod&amp;" points of damage with any spell that cures hit points;
</v>
          </cell>
          <cell r="N121" t="str">
            <v/>
          </cell>
          <cell r="O121" t="str">
            <v/>
          </cell>
          <cell r="P121" t="str">
            <v/>
          </cell>
          <cell r="Q121" t="str">
            <v/>
          </cell>
          <cell r="R121" t="str">
            <v/>
          </cell>
          <cell r="S121" t="str">
            <v/>
          </cell>
          <cell r="T121" t="str">
            <v/>
          </cell>
          <cell r="U121" t="str">
            <v/>
          </cell>
          <cell r="V121" t="str">
            <v/>
          </cell>
          <cell r="W121" t="str">
            <v/>
          </cell>
          <cell r="X121" t="str">
            <v/>
          </cell>
          <cell r="AI121" t="str">
            <v xml:space="preserve">
</v>
          </cell>
          <cell r="AP121" t="b">
            <v>0</v>
          </cell>
          <cell r="AQ121" t="b">
            <v>0</v>
          </cell>
          <cell r="AR121" t="b">
            <v>0</v>
          </cell>
          <cell r="AT121" t="b">
            <v>0</v>
          </cell>
          <cell r="AZ121" t="b">
            <v>0</v>
          </cell>
          <cell r="BA121" t="b">
            <v>0</v>
          </cell>
          <cell r="BK121" t="b">
            <v>0</v>
          </cell>
          <cell r="BN121" t="b">
            <v>0</v>
          </cell>
          <cell r="BT121" t="b">
            <v>0</v>
          </cell>
          <cell r="BX121" t="b">
            <v>0</v>
          </cell>
          <cell r="CA121" t="b">
            <v>0</v>
          </cell>
          <cell r="CI121">
            <v>10</v>
          </cell>
          <cell r="CJ121" t="e">
            <v>#N/A</v>
          </cell>
          <cell r="CK121">
            <v>0</v>
          </cell>
          <cell r="CL121" t="str">
            <v/>
          </cell>
          <cell r="CM121" t="str">
            <v/>
          </cell>
          <cell r="CN121" t="str">
            <v/>
          </cell>
          <cell r="CO121" t="str">
            <v/>
          </cell>
          <cell r="CP121" t="str">
            <v/>
          </cell>
          <cell r="CQ121" t="str">
            <v/>
          </cell>
          <cell r="CR121" t="str">
            <v/>
          </cell>
          <cell r="CS121" t="str">
            <v/>
          </cell>
          <cell r="CT121" t="str">
            <v/>
          </cell>
          <cell r="CU121" t="str">
            <v/>
          </cell>
          <cell r="CV121" t="str">
            <v>A</v>
          </cell>
          <cell r="CW121" t="str">
            <v>A</v>
          </cell>
          <cell r="CX121" t="str">
            <v>A</v>
          </cell>
          <cell r="CY121" t="str">
            <v>A</v>
          </cell>
          <cell r="CZ121" t="str">
            <v>A</v>
          </cell>
          <cell r="DA121" t="str">
            <v>A</v>
          </cell>
          <cell r="DB121" t="str">
            <v>A</v>
          </cell>
          <cell r="DC121" t="str">
            <v>A</v>
          </cell>
          <cell r="DD121" t="str">
            <v>A</v>
          </cell>
          <cell r="DE121" t="str">
            <v>A</v>
          </cell>
        </row>
        <row r="122">
          <cell r="A122" t="str">
            <v>Hexblade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10</v>
          </cell>
          <cell r="H122">
            <v>2</v>
          </cell>
          <cell r="I122" t="str">
            <v/>
          </cell>
          <cell r="J122" t="str">
            <v xml:space="preserve">Hexblade Features:
</v>
          </cell>
          <cell r="K122" t="str">
            <v xml:space="preserve">simple and martial weapon proficiency;
</v>
          </cell>
          <cell r="L122" t="str">
            <v xml:space="preserve">light armor proficiency;
</v>
          </cell>
          <cell r="M122" t="str">
            <v xml:space="preserve">Hexblade Curse (su):  (1st)  may unleash a curse imposing a -2 to attacks, saves, skill checks, ability checks, and damage rolls 
  1/day; (Will DC:  12/negates);
</v>
          </cell>
          <cell r="N122" t="str">
            <v/>
          </cell>
          <cell r="O122" t="str">
            <v/>
          </cell>
          <cell r="P122" t="str">
            <v/>
          </cell>
          <cell r="Q122" t="str">
            <v/>
          </cell>
          <cell r="R122" t="str">
            <v/>
          </cell>
          <cell r="S122" t="str">
            <v/>
          </cell>
          <cell r="T122" t="str">
            <v/>
          </cell>
          <cell r="AI122" t="str">
            <v xml:space="preserve">
</v>
          </cell>
          <cell r="AN122" t="b">
            <v>0</v>
          </cell>
          <cell r="AP122" t="b">
            <v>0</v>
          </cell>
          <cell r="AQ122" t="b">
            <v>0</v>
          </cell>
          <cell r="AR122" t="b">
            <v>0</v>
          </cell>
          <cell r="AT122" t="b">
            <v>0</v>
          </cell>
          <cell r="BC122" t="b">
            <v>0</v>
          </cell>
          <cell r="BE122" t="b">
            <v>0</v>
          </cell>
          <cell r="BT122" t="b">
            <v>0</v>
          </cell>
          <cell r="BV122" t="b">
            <v>0</v>
          </cell>
          <cell r="CA122" t="b">
            <v>0</v>
          </cell>
          <cell r="CI122">
            <v>10</v>
          </cell>
          <cell r="CJ122" t="e">
            <v>#N/A</v>
          </cell>
          <cell r="CK122">
            <v>0</v>
          </cell>
          <cell r="CL122" t="str">
            <v>--</v>
          </cell>
          <cell r="CM122" t="str">
            <v/>
          </cell>
          <cell r="CN122" t="str">
            <v/>
          </cell>
          <cell r="CO122" t="str">
            <v/>
          </cell>
          <cell r="CP122" t="str">
            <v/>
          </cell>
          <cell r="CQ122" t="str">
            <v>--</v>
          </cell>
          <cell r="CR122" t="str">
            <v>--</v>
          </cell>
          <cell r="CS122" t="str">
            <v>--</v>
          </cell>
          <cell r="CT122" t="str">
            <v>--</v>
          </cell>
          <cell r="CU122" t="str">
            <v>--</v>
          </cell>
          <cell r="CV122" t="str">
            <v>--</v>
          </cell>
          <cell r="CW122" t="str">
            <v/>
          </cell>
          <cell r="CX122" t="str">
            <v/>
          </cell>
          <cell r="CY122" t="str">
            <v/>
          </cell>
          <cell r="CZ122" t="str">
            <v/>
          </cell>
          <cell r="DA122" t="str">
            <v>--</v>
          </cell>
          <cell r="DB122" t="str">
            <v>--</v>
          </cell>
          <cell r="DC122" t="str">
            <v>--</v>
          </cell>
          <cell r="DD122" t="str">
            <v>--</v>
          </cell>
          <cell r="DE122" t="str">
            <v>--</v>
          </cell>
        </row>
        <row r="123">
          <cell r="A123" t="str">
            <v>Mariner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8</v>
          </cell>
          <cell r="H123">
            <v>6</v>
          </cell>
          <cell r="I123" t="str">
            <v/>
          </cell>
          <cell r="J123" t="str">
            <v xml:space="preserve">Mariner Features:
</v>
          </cell>
          <cell r="K123" t="str">
            <v xml:space="preserve">simple weapon proficiency as well as cutlass, net, scimitar and trident;
</v>
          </cell>
          <cell r="L123" t="str">
            <v xml:space="preserve">proficient with padded and leather armor;
</v>
          </cell>
          <cell r="M123" t="str">
            <v xml:space="preserve">Sailor Lore:  learn obscure maritime lore with a successful check (d20+4)
</v>
          </cell>
          <cell r="N123" t="str">
            <v xml:space="preserve">Seamanship:  gains a +1 bonus to balance, climb and profession (sailor) checks;
</v>
          </cell>
          <cell r="O123" t="str">
            <v/>
          </cell>
          <cell r="AI123" t="str">
            <v xml:space="preserve">
</v>
          </cell>
          <cell r="AM123" t="b">
            <v>0</v>
          </cell>
          <cell r="AO123" t="b">
            <v>0</v>
          </cell>
          <cell r="AQ123" t="b">
            <v>0</v>
          </cell>
          <cell r="AR123" t="b">
            <v>0</v>
          </cell>
          <cell r="AY123" t="b">
            <v>0</v>
          </cell>
          <cell r="BD123" t="b">
            <v>0</v>
          </cell>
          <cell r="BT123" t="b">
            <v>0</v>
          </cell>
          <cell r="BZ123" t="b">
            <v>0</v>
          </cell>
          <cell r="CB123" t="b">
            <v>0</v>
          </cell>
          <cell r="CC123" t="b">
            <v>0</v>
          </cell>
          <cell r="CD123" t="b">
            <v>0</v>
          </cell>
          <cell r="CE123" t="b">
            <v>0</v>
          </cell>
          <cell r="CH123" t="b">
            <v>0</v>
          </cell>
        </row>
        <row r="124">
          <cell r="A124" t="str">
            <v>Marshal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8</v>
          </cell>
          <cell r="H124">
            <v>4</v>
          </cell>
          <cell r="I124" t="str">
            <v/>
          </cell>
          <cell r="J124" t="str">
            <v xml:space="preserve">Marshal Features:
</v>
          </cell>
          <cell r="K124" t="str">
            <v xml:space="preserve">simple and martial weapon proficiency;
</v>
          </cell>
          <cell r="L124" t="str">
            <v xml:space="preserve">light and medium armor and shield proficiency (not tower shields);
</v>
          </cell>
          <cell r="M124" t="str">
            <v xml:space="preserve">Auras (ex):  knows 0 minor auras and 0 major auras;
</v>
          </cell>
          <cell r="N124" t="str">
            <v xml:space="preserve">  Minor Auras:  allies add +0 to certain rolls;
</v>
          </cell>
          <cell r="O124" t="str">
            <v/>
          </cell>
          <cell r="P124" t="str">
            <v xml:space="preserve">Skill Focus (diplomacy):  gains skill focus (diplomacy) as a bonus feat;
</v>
          </cell>
          <cell r="Q124" t="str">
            <v/>
          </cell>
          <cell r="AI124" t="str">
            <v xml:space="preserve">
</v>
          </cell>
          <cell r="AN124" t="b">
            <v>0</v>
          </cell>
          <cell r="AT124" t="b">
            <v>0</v>
          </cell>
          <cell r="AZ124" t="b">
            <v>0</v>
          </cell>
          <cell r="BC124" t="b">
            <v>0</v>
          </cell>
          <cell r="BE124" t="b">
            <v>0</v>
          </cell>
          <cell r="BF124" t="b">
            <v>0</v>
          </cell>
          <cell r="BG124" t="b">
            <v>0</v>
          </cell>
          <cell r="BH124" t="b">
            <v>0</v>
          </cell>
          <cell r="BI124" t="b">
            <v>0</v>
          </cell>
          <cell r="BJ124" t="b">
            <v>0</v>
          </cell>
          <cell r="BK124" t="b">
            <v>0</v>
          </cell>
          <cell r="BL124" t="b">
            <v>0</v>
          </cell>
          <cell r="BN124" t="b">
            <v>0</v>
          </cell>
          <cell r="BO124" t="b">
            <v>0</v>
          </cell>
          <cell r="BP124" t="b">
            <v>0</v>
          </cell>
          <cell r="BS124" t="b">
            <v>0</v>
          </cell>
          <cell r="BV124" t="b">
            <v>0</v>
          </cell>
          <cell r="BX124" t="b">
            <v>0</v>
          </cell>
          <cell r="BZ124" t="b">
            <v>0</v>
          </cell>
          <cell r="CB124" t="b">
            <v>0</v>
          </cell>
          <cell r="CC124" t="b">
            <v>0</v>
          </cell>
          <cell r="CD124" t="b">
            <v>0</v>
          </cell>
        </row>
        <row r="125">
          <cell r="A125" t="str">
            <v>Mystic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8</v>
          </cell>
          <cell r="H125">
            <v>2</v>
          </cell>
          <cell r="I125" t="str">
            <v/>
          </cell>
          <cell r="J125" t="str">
            <v xml:space="preserve">Mystic Features:
</v>
          </cell>
          <cell r="K125" t="str">
            <v xml:space="preserve">simple weapon proficiency plus deity's preferred weapon;
</v>
          </cell>
          <cell r="L125" t="str">
            <v xml:space="preserve">light and medium armor and shield proficiency;
</v>
          </cell>
          <cell r="M125" t="str">
            <v xml:space="preserve">domain:  may select one domain;
</v>
          </cell>
          <cell r="AI125" t="str">
            <v xml:space="preserve">
</v>
          </cell>
          <cell r="AP125" t="b">
            <v>0</v>
          </cell>
          <cell r="AQ125" t="b">
            <v>0</v>
          </cell>
          <cell r="AR125" t="b">
            <v>0</v>
          </cell>
          <cell r="AT125" t="b">
            <v>0</v>
          </cell>
          <cell r="BA125" t="b">
            <v>0</v>
          </cell>
          <cell r="BE125" t="b">
            <v>0</v>
          </cell>
          <cell r="BK125" t="b">
            <v>0</v>
          </cell>
          <cell r="BN125" t="b">
            <v>0</v>
          </cell>
          <cell r="BT125" t="b">
            <v>0</v>
          </cell>
          <cell r="CA125" t="b">
            <v>0</v>
          </cell>
          <cell r="CI125">
            <v>11</v>
          </cell>
          <cell r="CJ125" t="e">
            <v>#N/A</v>
          </cell>
          <cell r="CK125">
            <v>0</v>
          </cell>
          <cell r="CL125" t="str">
            <v/>
          </cell>
          <cell r="CM125" t="str">
            <v/>
          </cell>
          <cell r="CN125" t="str">
            <v/>
          </cell>
          <cell r="CO125" t="str">
            <v/>
          </cell>
          <cell r="CP125" t="str">
            <v/>
          </cell>
          <cell r="CQ125" t="str">
            <v/>
          </cell>
          <cell r="CR125" t="str">
            <v/>
          </cell>
          <cell r="CS125" t="str">
            <v/>
          </cell>
          <cell r="CT125" t="str">
            <v/>
          </cell>
          <cell r="CU125" t="str">
            <v/>
          </cell>
          <cell r="CV125" t="str">
            <v/>
          </cell>
          <cell r="CW125" t="str">
            <v/>
          </cell>
          <cell r="CX125" t="str">
            <v/>
          </cell>
          <cell r="CY125" t="str">
            <v/>
          </cell>
          <cell r="CZ125" t="str">
            <v/>
          </cell>
          <cell r="DA125" t="str">
            <v/>
          </cell>
          <cell r="DB125" t="str">
            <v/>
          </cell>
          <cell r="DC125" t="str">
            <v/>
          </cell>
          <cell r="DD125" t="str">
            <v/>
          </cell>
          <cell r="DE125" t="str">
            <v/>
          </cell>
        </row>
        <row r="126">
          <cell r="A126" t="str">
            <v>Noble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8</v>
          </cell>
          <cell r="H126">
            <v>4</v>
          </cell>
          <cell r="I126" t="str">
            <v/>
          </cell>
          <cell r="J126" t="str">
            <v xml:space="preserve">Noble Features:
</v>
          </cell>
          <cell r="K126" t="str">
            <v xml:space="preserve">simple and martial weapon proficiency;
</v>
          </cell>
          <cell r="L126" t="str">
            <v xml:space="preserve">light armor and shields proficiency;
</v>
          </cell>
          <cell r="M126" t="str">
            <v xml:space="preserve">Bonus Class Skill:  (1st)  may select any one cross-class skill as a class skill;
</v>
          </cell>
          <cell r="N126" t="str">
            <v xml:space="preserve">Favor:  the ability to call in favors from those you know with a d20+1 check, DC varies;
</v>
          </cell>
          <cell r="O126" t="str">
            <v/>
          </cell>
          <cell r="P126" t="str">
            <v/>
          </cell>
          <cell r="Q126" t="str">
            <v/>
          </cell>
          <cell r="AI126" t="str">
            <v xml:space="preserve">
</v>
          </cell>
          <cell r="AK126" t="b">
            <v>0</v>
          </cell>
          <cell r="AN126" t="b">
            <v>0</v>
          </cell>
          <cell r="AT126" t="b">
            <v>0</v>
          </cell>
          <cell r="AY126" t="b">
            <v>0</v>
          </cell>
          <cell r="BC126" t="b">
            <v>0</v>
          </cell>
          <cell r="BE126" t="b">
            <v>0</v>
          </cell>
          <cell r="BF126" t="b">
            <v>0</v>
          </cell>
          <cell r="BG126" t="b">
            <v>0</v>
          </cell>
          <cell r="BH126" t="b">
            <v>0</v>
          </cell>
          <cell r="BI126" t="b">
            <v>0</v>
          </cell>
          <cell r="BJ126" t="b">
            <v>0</v>
          </cell>
          <cell r="BK126" t="b">
            <v>0</v>
          </cell>
          <cell r="BL126" t="b">
            <v>0</v>
          </cell>
          <cell r="BN126" t="b">
            <v>0</v>
          </cell>
          <cell r="BO126" t="b">
            <v>0</v>
          </cell>
          <cell r="BP126" t="b">
            <v>0</v>
          </cell>
          <cell r="BS126" t="b">
            <v>0</v>
          </cell>
          <cell r="BV126" t="b">
            <v>0</v>
          </cell>
          <cell r="BX126" t="b">
            <v>0</v>
          </cell>
          <cell r="BZ126" t="b">
            <v>0</v>
          </cell>
        </row>
        <row r="127">
          <cell r="A127" t="str">
            <v>Psion (Egoist)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4</v>
          </cell>
          <cell r="H127">
            <v>2</v>
          </cell>
          <cell r="I127" t="str">
            <v/>
          </cell>
          <cell r="J127" t="str">
            <v xml:space="preserve">Psion Features:
</v>
          </cell>
          <cell r="K127" t="str">
            <v xml:space="preserve">proficient with club, dagger, crossbow (heavy and light), quarterstaff; and shortspear;
</v>
          </cell>
          <cell r="L127" t="str">
            <v xml:space="preserve">discipline:  may not select or use powers from disciplines other than the one selected;
</v>
          </cell>
          <cell r="M127" t="str">
            <v xml:space="preserve">1 bonus feats (psionic, metapsionic, or psionic item creation);
</v>
          </cell>
          <cell r="N127" t="str">
            <v xml:space="preserve">may select psicrystal psicrystal affinity as a feat;
</v>
          </cell>
          <cell r="AI127" t="str">
            <v xml:space="preserve">
</v>
          </cell>
          <cell r="AL127" t="b">
            <v>0</v>
          </cell>
          <cell r="AM127" t="b">
            <v>0</v>
          </cell>
          <cell r="AP127" t="b">
            <v>0</v>
          </cell>
          <cell r="AQ127" t="b">
            <v>0</v>
          </cell>
          <cell r="AR127" t="b">
            <v>0</v>
          </cell>
          <cell r="BA127" t="b">
            <v>0</v>
          </cell>
          <cell r="BE127" t="b">
            <v>0</v>
          </cell>
          <cell r="BF127" t="b">
            <v>0</v>
          </cell>
          <cell r="BG127" t="b">
            <v>0</v>
          </cell>
          <cell r="BH127" t="b">
            <v>0</v>
          </cell>
          <cell r="BI127" t="b">
            <v>0</v>
          </cell>
          <cell r="BJ127" t="b">
            <v>0</v>
          </cell>
          <cell r="BK127" t="b">
            <v>0</v>
          </cell>
          <cell r="BL127" t="b">
            <v>0</v>
          </cell>
          <cell r="BM127" t="b">
            <v>0</v>
          </cell>
          <cell r="BN127" t="b">
            <v>0</v>
          </cell>
          <cell r="BO127" t="b">
            <v>0</v>
          </cell>
          <cell r="BT127" t="b">
            <v>0</v>
          </cell>
          <cell r="BU127" t="b">
            <v>0</v>
          </cell>
          <cell r="CI127">
            <v>14</v>
          </cell>
          <cell r="CL127" t="str">
            <v/>
          </cell>
          <cell r="CM127" t="str">
            <v/>
          </cell>
          <cell r="CN127" t="str">
            <v/>
          </cell>
        </row>
        <row r="128">
          <cell r="A128" t="str">
            <v>Psion (Kineticist)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4</v>
          </cell>
          <cell r="H128">
            <v>2</v>
          </cell>
          <cell r="I128" t="str">
            <v/>
          </cell>
          <cell r="J128" t="str">
            <v xml:space="preserve">Psion Features:
</v>
          </cell>
          <cell r="K128" t="str">
            <v xml:space="preserve">proficient with club, dagger, crossbow (heavy and light), quarterstaff; and shortspear;
</v>
          </cell>
          <cell r="L128" t="str">
            <v xml:space="preserve">discipline:  may not select or use powers from disciplines other than the one selected;
</v>
          </cell>
          <cell r="M128" t="str">
            <v xml:space="preserve">1 bonus feats (psionic, metapsionic, or psionic item creation);
</v>
          </cell>
          <cell r="N128" t="str">
            <v xml:space="preserve">may select psicrystal psicrystal affinity as a feat;
</v>
          </cell>
          <cell r="AI128" t="str">
            <v xml:space="preserve">
</v>
          </cell>
          <cell r="AL128" t="b">
            <v>0</v>
          </cell>
          <cell r="AP128" t="b">
            <v>0</v>
          </cell>
          <cell r="AQ128" t="b">
            <v>0</v>
          </cell>
          <cell r="AR128" t="b">
            <v>0</v>
          </cell>
          <cell r="AU128" t="b">
            <v>0</v>
          </cell>
          <cell r="BC128" t="b">
            <v>0</v>
          </cell>
          <cell r="BE128" t="b">
            <v>0</v>
          </cell>
          <cell r="BF128" t="b">
            <v>0</v>
          </cell>
          <cell r="BG128" t="b">
            <v>0</v>
          </cell>
          <cell r="BH128" t="b">
            <v>0</v>
          </cell>
          <cell r="BI128" t="b">
            <v>0</v>
          </cell>
          <cell r="BJ128" t="b">
            <v>0</v>
          </cell>
          <cell r="BK128" t="b">
            <v>0</v>
          </cell>
          <cell r="BL128" t="b">
            <v>0</v>
          </cell>
          <cell r="BM128" t="b">
            <v>0</v>
          </cell>
          <cell r="BN128" t="b">
            <v>0</v>
          </cell>
          <cell r="BO128" t="b">
            <v>0</v>
          </cell>
          <cell r="BT128" t="b">
            <v>0</v>
          </cell>
          <cell r="BU128" t="b">
            <v>0</v>
          </cell>
          <cell r="CI128">
            <v>14</v>
          </cell>
          <cell r="CL128" t="str">
            <v/>
          </cell>
          <cell r="CM128" t="str">
            <v/>
          </cell>
          <cell r="CN128" t="str">
            <v/>
          </cell>
        </row>
        <row r="129">
          <cell r="A129" t="str">
            <v>Psion (Nomad)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4</v>
          </cell>
          <cell r="H129">
            <v>2</v>
          </cell>
          <cell r="I129" t="str">
            <v/>
          </cell>
          <cell r="J129" t="str">
            <v xml:space="preserve">Psion Features:
</v>
          </cell>
          <cell r="K129" t="str">
            <v xml:space="preserve">proficient with club, dagger, crossbow (heavy and light), quarterstaff; and shortspear;
</v>
          </cell>
          <cell r="L129" t="str">
            <v xml:space="preserve">discipline:  may not select or use powers from disciplines other than the one selected;
</v>
          </cell>
          <cell r="M129" t="str">
            <v xml:space="preserve">1 bonus feats (psionic, metapsionic, or psionic item creation);
</v>
          </cell>
          <cell r="N129" t="str">
            <v xml:space="preserve">may select psicrystal psicrystal affinity as a feat;
</v>
          </cell>
          <cell r="AI129" t="str">
            <v xml:space="preserve">
</v>
          </cell>
          <cell r="AO129" t="b">
            <v>0</v>
          </cell>
          <cell r="AP129" t="b">
            <v>0</v>
          </cell>
          <cell r="AQ129" t="b">
            <v>0</v>
          </cell>
          <cell r="AR129" t="b">
            <v>0</v>
          </cell>
          <cell r="BD129" t="b">
            <v>0</v>
          </cell>
          <cell r="BE129" t="b">
            <v>0</v>
          </cell>
          <cell r="BF129" t="b">
            <v>0</v>
          </cell>
          <cell r="BG129" t="b">
            <v>0</v>
          </cell>
          <cell r="BH129" t="b">
            <v>0</v>
          </cell>
          <cell r="BI129" t="b">
            <v>0</v>
          </cell>
          <cell r="BJ129" t="b">
            <v>0</v>
          </cell>
          <cell r="BK129" t="b">
            <v>0</v>
          </cell>
          <cell r="BL129" t="b">
            <v>0</v>
          </cell>
          <cell r="BM129" t="b">
            <v>0</v>
          </cell>
          <cell r="BN129" t="b">
            <v>0</v>
          </cell>
          <cell r="BO129" t="b">
            <v>0</v>
          </cell>
          <cell r="BT129" t="b">
            <v>0</v>
          </cell>
          <cell r="BU129" t="b">
            <v>0</v>
          </cell>
          <cell r="BV129" t="b">
            <v>0</v>
          </cell>
          <cell r="CC129" t="b">
            <v>0</v>
          </cell>
          <cell r="CD129" t="b">
            <v>0</v>
          </cell>
          <cell r="CI129">
            <v>14</v>
          </cell>
          <cell r="CL129" t="str">
            <v/>
          </cell>
          <cell r="CM129" t="str">
            <v/>
          </cell>
          <cell r="CN129" t="str">
            <v/>
          </cell>
        </row>
        <row r="130">
          <cell r="A130" t="str">
            <v>Psion (Seer)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4</v>
          </cell>
          <cell r="H130">
            <v>2</v>
          </cell>
          <cell r="I130" t="str">
            <v/>
          </cell>
          <cell r="J130" t="str">
            <v xml:space="preserve">Psion Features:
</v>
          </cell>
          <cell r="K130" t="str">
            <v xml:space="preserve">proficient with club, dagger, crossbow (heavy and light), quarterstaff; and shortspear;
</v>
          </cell>
          <cell r="L130" t="str">
            <v xml:space="preserve">discipline:  may not select or use powers from disciplines other than the one selected;
</v>
          </cell>
          <cell r="M130" t="str">
            <v xml:space="preserve">1 bonus feats (psionic, metapsionic, or psionic item creation);
</v>
          </cell>
          <cell r="N130" t="str">
            <v xml:space="preserve">may select psicrystal psicrystal affinity as a feat;
</v>
          </cell>
          <cell r="AI130" t="str">
            <v xml:space="preserve">
</v>
          </cell>
          <cell r="AP130" t="b">
            <v>0</v>
          </cell>
          <cell r="AQ130" t="b">
            <v>0</v>
          </cell>
          <cell r="AR130" t="b">
            <v>0</v>
          </cell>
          <cell r="AY130" t="b">
            <v>0</v>
          </cell>
          <cell r="BE130" t="b">
            <v>0</v>
          </cell>
          <cell r="BF130" t="b">
            <v>0</v>
          </cell>
          <cell r="BG130" t="b">
            <v>0</v>
          </cell>
          <cell r="BH130" t="b">
            <v>0</v>
          </cell>
          <cell r="BI130" t="b">
            <v>0</v>
          </cell>
          <cell r="BJ130" t="b">
            <v>0</v>
          </cell>
          <cell r="BK130" t="b">
            <v>0</v>
          </cell>
          <cell r="BL130" t="b">
            <v>0</v>
          </cell>
          <cell r="BM130" t="b">
            <v>0</v>
          </cell>
          <cell r="BN130" t="b">
            <v>0</v>
          </cell>
          <cell r="BO130" t="b">
            <v>0</v>
          </cell>
          <cell r="BP130" t="b">
            <v>0</v>
          </cell>
          <cell r="BT130" t="b">
            <v>0</v>
          </cell>
          <cell r="BU130" t="b">
            <v>0</v>
          </cell>
          <cell r="CB130" t="b">
            <v>0</v>
          </cell>
          <cell r="CI130">
            <v>14</v>
          </cell>
          <cell r="CL130" t="str">
            <v/>
          </cell>
          <cell r="CM130" t="str">
            <v/>
          </cell>
          <cell r="CN130" t="str">
            <v/>
          </cell>
        </row>
        <row r="131">
          <cell r="A131" t="str">
            <v>Psion (Shaper)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4</v>
          </cell>
          <cell r="H131">
            <v>2</v>
          </cell>
          <cell r="I131" t="str">
            <v/>
          </cell>
          <cell r="J131" t="str">
            <v xml:space="preserve">Psion Features:
</v>
          </cell>
          <cell r="K131" t="str">
            <v xml:space="preserve">proficient with club, dagger, crossbow (heavy and light), quarterstaff; and shortspear;
</v>
          </cell>
          <cell r="L131" t="str">
            <v xml:space="preserve">discipline:  may not select or use powers from disciplines other than the one selected;
</v>
          </cell>
          <cell r="M131" t="str">
            <v xml:space="preserve">1 bonus feats (psionic, metapsionic, or psionic item creation);
</v>
          </cell>
          <cell r="N131" t="str">
            <v xml:space="preserve">may select psicrystal psicrystal affinity as a feat;
</v>
          </cell>
          <cell r="AI131" t="str">
            <v xml:space="preserve">
</v>
          </cell>
          <cell r="AN131" t="b">
            <v>0</v>
          </cell>
          <cell r="AP131" t="b">
            <v>0</v>
          </cell>
          <cell r="AQ131" t="b">
            <v>0</v>
          </cell>
          <cell r="AR131" t="b">
            <v>0</v>
          </cell>
          <cell r="AV131" t="b">
            <v>0</v>
          </cell>
          <cell r="BE131" t="b">
            <v>0</v>
          </cell>
          <cell r="BF131" t="b">
            <v>0</v>
          </cell>
          <cell r="BG131" t="b">
            <v>0</v>
          </cell>
          <cell r="BH131" t="b">
            <v>0</v>
          </cell>
          <cell r="BI131" t="b">
            <v>0</v>
          </cell>
          <cell r="BJ131" t="b">
            <v>0</v>
          </cell>
          <cell r="BK131" t="b">
            <v>0</v>
          </cell>
          <cell r="BL131" t="b">
            <v>0</v>
          </cell>
          <cell r="BM131" t="b">
            <v>0</v>
          </cell>
          <cell r="BN131" t="b">
            <v>0</v>
          </cell>
          <cell r="BO131" t="b">
            <v>0</v>
          </cell>
          <cell r="BT131" t="b">
            <v>0</v>
          </cell>
          <cell r="BU131" t="b">
            <v>0</v>
          </cell>
          <cell r="CG131" t="b">
            <v>0</v>
          </cell>
          <cell r="CI131">
            <v>14</v>
          </cell>
          <cell r="CL131" t="str">
            <v/>
          </cell>
          <cell r="CM131" t="str">
            <v/>
          </cell>
          <cell r="CN131" t="str">
            <v/>
          </cell>
        </row>
        <row r="132">
          <cell r="A132" t="str">
            <v>Psion (Telepath)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4</v>
          </cell>
          <cell r="H132">
            <v>2</v>
          </cell>
          <cell r="I132" t="str">
            <v/>
          </cell>
          <cell r="J132" t="str">
            <v xml:space="preserve">Psion Features:
</v>
          </cell>
          <cell r="K132" t="str">
            <v xml:space="preserve">proficient with club, dagger, crossbow (heavy and light), quarterstaff; and shortspear;
</v>
          </cell>
          <cell r="L132" t="str">
            <v xml:space="preserve">discipline:  may not select or use powers from disciplines other than the one selected;
</v>
          </cell>
          <cell r="M132" t="str">
            <v xml:space="preserve">1 bonus feats (psionic, metapsionic, or psionic item creation);
</v>
          </cell>
          <cell r="N132" t="str">
            <v xml:space="preserve">may select psicrystal psicrystal affinity as a feat;
</v>
          </cell>
          <cell r="AI132" t="str">
            <v xml:space="preserve">
</v>
          </cell>
          <cell r="AN132" t="b">
            <v>0</v>
          </cell>
          <cell r="AP132" t="b">
            <v>0</v>
          </cell>
          <cell r="AQ132" t="b">
            <v>0</v>
          </cell>
          <cell r="AR132" t="b">
            <v>0</v>
          </cell>
          <cell r="AT132" t="b">
            <v>0</v>
          </cell>
          <cell r="AY132" t="b">
            <v>0</v>
          </cell>
          <cell r="BE132" t="b">
            <v>0</v>
          </cell>
          <cell r="BF132" t="b">
            <v>0</v>
          </cell>
          <cell r="BG132" t="b">
            <v>0</v>
          </cell>
          <cell r="BH132" t="b">
            <v>0</v>
          </cell>
          <cell r="BI132" t="b">
            <v>0</v>
          </cell>
          <cell r="BJ132" t="b">
            <v>0</v>
          </cell>
          <cell r="BK132" t="b">
            <v>0</v>
          </cell>
          <cell r="BL132" t="b">
            <v>0</v>
          </cell>
          <cell r="BM132" t="b">
            <v>0</v>
          </cell>
          <cell r="BN132" t="b">
            <v>0</v>
          </cell>
          <cell r="BO132" t="b">
            <v>0</v>
          </cell>
          <cell r="BT132" t="b">
            <v>0</v>
          </cell>
          <cell r="BU132" t="b">
            <v>0</v>
          </cell>
          <cell r="BX132" t="b">
            <v>0</v>
          </cell>
          <cell r="CI132">
            <v>14</v>
          </cell>
          <cell r="CL132" t="str">
            <v/>
          </cell>
          <cell r="CM132" t="str">
            <v/>
          </cell>
          <cell r="CN132" t="str">
            <v/>
          </cell>
        </row>
        <row r="133">
          <cell r="A133" t="str">
            <v>Psychic Warrior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8</v>
          </cell>
          <cell r="H133">
            <v>2</v>
          </cell>
          <cell r="I133" t="str">
            <v/>
          </cell>
          <cell r="J133" t="str">
            <v xml:space="preserve">Psychic Warrior Features:
</v>
          </cell>
          <cell r="K133" t="str">
            <v xml:space="preserve">simple and martial weapon proficiency;
</v>
          </cell>
          <cell r="L133" t="str">
            <v xml:space="preserve">all armor and shield proficiency (except tower shields);
</v>
          </cell>
          <cell r="M133" t="str">
            <v xml:space="preserve">1 bonus fighter or psionic feats;
</v>
          </cell>
          <cell r="AI133" t="str">
            <v xml:space="preserve">
</v>
          </cell>
          <cell r="AL133" t="b">
            <v>0</v>
          </cell>
          <cell r="AO133" t="b">
            <v>0</v>
          </cell>
          <cell r="AP133" t="b">
            <v>0</v>
          </cell>
          <cell r="AQ133" t="b">
            <v>0</v>
          </cell>
          <cell r="AR133" t="b">
            <v>0</v>
          </cell>
          <cell r="BD133" t="b">
            <v>0</v>
          </cell>
          <cell r="BM133" t="b">
            <v>0</v>
          </cell>
          <cell r="BT133" t="b">
            <v>0</v>
          </cell>
          <cell r="BV133" t="b">
            <v>0</v>
          </cell>
          <cell r="BW133" t="b">
            <v>0</v>
          </cell>
          <cell r="CD133" t="b">
            <v>0</v>
          </cell>
          <cell r="CI133">
            <v>11</v>
          </cell>
          <cell r="CL133" t="str">
            <v/>
          </cell>
          <cell r="CM133" t="str">
            <v/>
          </cell>
          <cell r="CN133" t="str">
            <v/>
          </cell>
        </row>
        <row r="134">
          <cell r="A134" t="str">
            <v>Samurai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10</v>
          </cell>
          <cell r="H134">
            <v>2</v>
          </cell>
          <cell r="I134" t="str">
            <v/>
          </cell>
          <cell r="J134" t="str">
            <v xml:space="preserve">Samurai Features:
</v>
          </cell>
          <cell r="K134" t="str">
            <v xml:space="preserve">simple and martial weapon proficiency;
</v>
          </cell>
          <cell r="L134" t="str">
            <v xml:space="preserve">all armor but no shield proficiency;
</v>
          </cell>
          <cell r="M134" t="str">
            <v xml:space="preserve">Daisho Proficiency (ex):  (1st)  gains exotic weapon proficiency (bastard sword) as a bonus feat;
</v>
          </cell>
          <cell r="N134" t="str">
            <v/>
          </cell>
          <cell r="O134" t="str">
            <v/>
          </cell>
          <cell r="P134" t="str">
            <v/>
          </cell>
          <cell r="Q134" t="str">
            <v/>
          </cell>
          <cell r="R134" t="str">
            <v/>
          </cell>
          <cell r="S134" t="str">
            <v/>
          </cell>
          <cell r="T134" t="str">
            <v/>
          </cell>
          <cell r="U134" t="str">
            <v/>
          </cell>
          <cell r="V134" t="str">
            <v/>
          </cell>
          <cell r="W134" t="str">
            <v/>
          </cell>
          <cell r="AI134" t="str">
            <v xml:space="preserve">
</v>
          </cell>
          <cell r="AP134" t="b">
            <v>0</v>
          </cell>
          <cell r="AQ134" t="b">
            <v>0</v>
          </cell>
          <cell r="AR134" t="b">
            <v>0</v>
          </cell>
          <cell r="AT134" t="b">
            <v>0</v>
          </cell>
          <cell r="BC134" t="b">
            <v>0</v>
          </cell>
          <cell r="BI134" t="b">
            <v>0</v>
          </cell>
          <cell r="BL134" t="b">
            <v>0</v>
          </cell>
          <cell r="BV134" t="b">
            <v>0</v>
          </cell>
          <cell r="BX134" t="b">
            <v>0</v>
          </cell>
        </row>
        <row r="135">
          <cell r="A135" t="str">
            <v>Shugenja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6</v>
          </cell>
          <cell r="H135">
            <v>4</v>
          </cell>
          <cell r="I135" t="str">
            <v/>
          </cell>
          <cell r="J135" t="str">
            <v xml:space="preserve">Shugenja Features:
</v>
          </cell>
          <cell r="K135" t="str">
            <v xml:space="preserve">simple weapons and short sword proficiency;
</v>
          </cell>
          <cell r="L135" t="str">
            <v xml:space="preserve">Elemental Focus:  (1st)  gains spell focus feat for spells from favored element, and is forbidden to learn spells from prohibited element;
</v>
          </cell>
          <cell r="M135" t="str">
            <v xml:space="preserve">Sense Elements (sp):  may concentrate to locate and attempt to identify sources of a chosen element 3 times per day;
</v>
          </cell>
          <cell r="AI135" t="str">
            <v xml:space="preserve">
</v>
          </cell>
          <cell r="AP135" t="b">
            <v>0</v>
          </cell>
          <cell r="AQ135" t="b">
            <v>0</v>
          </cell>
          <cell r="AR135" t="b">
            <v>0</v>
          </cell>
          <cell r="AT135" t="b">
            <v>0</v>
          </cell>
          <cell r="BA135" t="b">
            <v>0</v>
          </cell>
          <cell r="BE135" t="b">
            <v>0</v>
          </cell>
          <cell r="BF135" t="b">
            <v>0</v>
          </cell>
          <cell r="BG135" t="b">
            <v>0</v>
          </cell>
          <cell r="BH135" t="b">
            <v>0</v>
          </cell>
          <cell r="BI135" t="b">
            <v>0</v>
          </cell>
          <cell r="BJ135" t="b">
            <v>0</v>
          </cell>
          <cell r="BK135" t="b">
            <v>0</v>
          </cell>
          <cell r="BL135" t="b">
            <v>0</v>
          </cell>
          <cell r="BN135" t="b">
            <v>0</v>
          </cell>
          <cell r="BO135" t="b">
            <v>0</v>
          </cell>
          <cell r="BT135" t="b">
            <v>0</v>
          </cell>
          <cell r="CA135" t="b">
            <v>0</v>
          </cell>
          <cell r="CI135">
            <v>10</v>
          </cell>
          <cell r="CJ135" t="e">
            <v>#N/A</v>
          </cell>
          <cell r="CK135">
            <v>0</v>
          </cell>
          <cell r="CL135" t="str">
            <v/>
          </cell>
          <cell r="CM135" t="str">
            <v/>
          </cell>
          <cell r="CN135" t="str">
            <v/>
          </cell>
          <cell r="CO135" t="str">
            <v/>
          </cell>
          <cell r="CP135" t="str">
            <v/>
          </cell>
          <cell r="CQ135" t="str">
            <v/>
          </cell>
          <cell r="CR135" t="str">
            <v/>
          </cell>
          <cell r="CS135" t="str">
            <v/>
          </cell>
          <cell r="CT135" t="str">
            <v/>
          </cell>
          <cell r="CU135" t="str">
            <v/>
          </cell>
          <cell r="CV135" t="str">
            <v>*</v>
          </cell>
          <cell r="CW135" t="str">
            <v>*</v>
          </cell>
          <cell r="CX135" t="str">
            <v>*</v>
          </cell>
          <cell r="CY135" t="str">
            <v>*</v>
          </cell>
          <cell r="CZ135" t="str">
            <v>*</v>
          </cell>
          <cell r="DA135" t="str">
            <v>*</v>
          </cell>
          <cell r="DB135" t="str">
            <v>*</v>
          </cell>
          <cell r="DC135" t="str">
            <v>*</v>
          </cell>
          <cell r="DD135" t="str">
            <v>*</v>
          </cell>
          <cell r="DE135" t="str">
            <v>*</v>
          </cell>
        </row>
        <row r="136">
          <cell r="A136" t="str">
            <v>Soulblade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4</v>
          </cell>
          <cell r="H136">
            <v>10</v>
          </cell>
          <cell r="I136" t="str">
            <v/>
          </cell>
          <cell r="J136" t="str">
            <v xml:space="preserve">Soublade Features:
</v>
          </cell>
          <cell r="K136" t="str">
            <v xml:space="preserve">simple weapon proficiency;
</v>
          </cell>
          <cell r="L136" t="str">
            <v xml:space="preserve">light armor and shield proficiency;
</v>
          </cell>
          <cell r="M136" t="str">
            <v xml:space="preserve">Mind Blade (su):  may create a semi-solid blade of psychic energy as a move action;
</v>
          </cell>
          <cell r="N136" t="str">
            <v xml:space="preserve">  Mindblade inflicts 1d6 damage, with a critical range of 19-20/x2;
</v>
          </cell>
          <cell r="O136" t="str">
            <v xml:space="preserve">  Natural Enhancement:  a mindblade has an enchancement bonus of +1 on attack and damage rolls;
</v>
          </cell>
          <cell r="P136" t="str">
            <v/>
          </cell>
          <cell r="Q136" t="str">
            <v/>
          </cell>
          <cell r="R136" t="str">
            <v/>
          </cell>
          <cell r="S136" t="str">
            <v/>
          </cell>
          <cell r="T136" t="str">
            <v/>
          </cell>
          <cell r="U136" t="str">
            <v xml:space="preserve">Bonus Feat(s):
  (1st)
    Wild Talent;
    Weapon Focus (Mindblade)
</v>
          </cell>
          <cell r="V136" t="str">
            <v/>
          </cell>
          <cell r="W136" t="str">
            <v/>
          </cell>
          <cell r="AI136" t="str">
            <v xml:space="preserve">
</v>
          </cell>
          <cell r="AL136" t="b">
            <v>0</v>
          </cell>
          <cell r="AO136" t="b">
            <v>0</v>
          </cell>
          <cell r="AP136" t="b">
            <v>0</v>
          </cell>
          <cell r="AQ136" t="b">
            <v>0</v>
          </cell>
          <cell r="AR136" t="b">
            <v>0</v>
          </cell>
          <cell r="BB136" t="b">
            <v>0</v>
          </cell>
          <cell r="BD136" t="b">
            <v>0</v>
          </cell>
          <cell r="BM136" t="b">
            <v>0</v>
          </cell>
          <cell r="BP136" t="b">
            <v>0</v>
          </cell>
          <cell r="BQ136" t="b">
            <v>0</v>
          </cell>
          <cell r="BT136" t="b">
            <v>0</v>
          </cell>
          <cell r="CB136" t="b">
            <v>0</v>
          </cell>
          <cell r="CE136" t="b">
            <v>0</v>
          </cell>
        </row>
        <row r="137">
          <cell r="A137" t="str">
            <v>Spellcaster (Arcane)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4</v>
          </cell>
          <cell r="H137">
            <v>2</v>
          </cell>
          <cell r="I137" t="str">
            <v/>
          </cell>
          <cell r="J137" t="str">
            <v xml:space="preserve">Spellcaster Features:
</v>
          </cell>
          <cell r="K137" t="str">
            <v xml:space="preserve">simple weapon proficiency;
</v>
          </cell>
          <cell r="AI137" t="str">
            <v xml:space="preserve">
</v>
          </cell>
          <cell r="AK137" t="b">
            <v>0</v>
          </cell>
          <cell r="AL137" t="b">
            <v>0</v>
          </cell>
          <cell r="AM137" t="b">
            <v>0</v>
          </cell>
          <cell r="AN137" t="b">
            <v>0</v>
          </cell>
          <cell r="AO137" t="b">
            <v>0</v>
          </cell>
          <cell r="AP137" t="b">
            <v>0</v>
          </cell>
          <cell r="AQ137" t="b">
            <v>0</v>
          </cell>
          <cell r="AR137" t="b">
            <v>0</v>
          </cell>
          <cell r="AS137" t="b">
            <v>0</v>
          </cell>
          <cell r="AT137" t="b">
            <v>0</v>
          </cell>
          <cell r="AU137" t="b">
            <v>0</v>
          </cell>
          <cell r="AV137" t="b">
            <v>0</v>
          </cell>
          <cell r="AW137" t="b">
            <v>0</v>
          </cell>
          <cell r="AX137" t="b">
            <v>0</v>
          </cell>
          <cell r="AY137" t="b">
            <v>0</v>
          </cell>
          <cell r="AZ137" t="b">
            <v>0</v>
          </cell>
          <cell r="BA137" t="b">
            <v>0</v>
          </cell>
          <cell r="BB137" t="b">
            <v>0</v>
          </cell>
          <cell r="BC137" t="b">
            <v>0</v>
          </cell>
          <cell r="BD137" t="b">
            <v>0</v>
          </cell>
          <cell r="BE137" t="b">
            <v>0</v>
          </cell>
          <cell r="BF137" t="b">
            <v>0</v>
          </cell>
          <cell r="BG137" t="b">
            <v>0</v>
          </cell>
          <cell r="BH137" t="b">
            <v>0</v>
          </cell>
          <cell r="BI137" t="b">
            <v>0</v>
          </cell>
          <cell r="BJ137" t="b">
            <v>0</v>
          </cell>
          <cell r="BK137" t="b">
            <v>0</v>
          </cell>
          <cell r="BL137" t="b">
            <v>0</v>
          </cell>
          <cell r="BM137" t="b">
            <v>0</v>
          </cell>
          <cell r="BN137" t="b">
            <v>0</v>
          </cell>
          <cell r="BO137" t="b">
            <v>0</v>
          </cell>
          <cell r="BP137" t="b">
            <v>0</v>
          </cell>
          <cell r="BQ137" t="b">
            <v>0</v>
          </cell>
          <cell r="BR137" t="b">
            <v>0</v>
          </cell>
          <cell r="BS137" t="b">
            <v>0</v>
          </cell>
          <cell r="BT137" t="b">
            <v>0</v>
          </cell>
          <cell r="BU137" t="b">
            <v>0</v>
          </cell>
          <cell r="BV137" t="b">
            <v>0</v>
          </cell>
          <cell r="BW137" t="b">
            <v>0</v>
          </cell>
          <cell r="BX137" t="b">
            <v>0</v>
          </cell>
          <cell r="BY137" t="b">
            <v>0</v>
          </cell>
          <cell r="BZ137" t="b">
            <v>0</v>
          </cell>
          <cell r="CA137" t="b">
            <v>0</v>
          </cell>
          <cell r="CB137" t="b">
            <v>0</v>
          </cell>
          <cell r="CC137" t="b">
            <v>0</v>
          </cell>
          <cell r="CD137" t="b">
            <v>0</v>
          </cell>
          <cell r="CE137" t="b">
            <v>0</v>
          </cell>
          <cell r="CF137" t="b">
            <v>0</v>
          </cell>
          <cell r="CG137" t="b">
            <v>0</v>
          </cell>
          <cell r="CH137" t="b">
            <v>0</v>
          </cell>
        </row>
        <row r="138">
          <cell r="A138" t="str">
            <v>Spellcaster (Divine)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4</v>
          </cell>
          <cell r="H138">
            <v>2</v>
          </cell>
          <cell r="I138" t="str">
            <v/>
          </cell>
          <cell r="J138" t="str">
            <v xml:space="preserve">Spellcaster Features:
</v>
          </cell>
          <cell r="K138" t="str">
            <v xml:space="preserve">simple weapon proficiency;
</v>
          </cell>
          <cell r="AI138" t="str">
            <v xml:space="preserve">
</v>
          </cell>
          <cell r="AK138" t="b">
            <v>0</v>
          </cell>
          <cell r="AL138" t="b">
            <v>0</v>
          </cell>
          <cell r="AM138" t="b">
            <v>0</v>
          </cell>
          <cell r="AN138" t="b">
            <v>0</v>
          </cell>
          <cell r="AO138" t="b">
            <v>0</v>
          </cell>
          <cell r="AP138" t="b">
            <v>0</v>
          </cell>
          <cell r="AQ138" t="b">
            <v>0</v>
          </cell>
          <cell r="AR138" t="b">
            <v>0</v>
          </cell>
          <cell r="AS138" t="b">
            <v>0</v>
          </cell>
          <cell r="AT138" t="b">
            <v>0</v>
          </cell>
          <cell r="AU138" t="b">
            <v>0</v>
          </cell>
          <cell r="AV138" t="b">
            <v>0</v>
          </cell>
          <cell r="AW138" t="b">
            <v>0</v>
          </cell>
          <cell r="AX138" t="b">
            <v>0</v>
          </cell>
          <cell r="AY138" t="b">
            <v>0</v>
          </cell>
          <cell r="AZ138" t="b">
            <v>0</v>
          </cell>
          <cell r="BA138" t="b">
            <v>0</v>
          </cell>
          <cell r="BB138" t="b">
            <v>0</v>
          </cell>
          <cell r="BC138" t="b">
            <v>0</v>
          </cell>
          <cell r="BD138" t="b">
            <v>0</v>
          </cell>
          <cell r="BE138" t="b">
            <v>0</v>
          </cell>
          <cell r="BF138" t="b">
            <v>0</v>
          </cell>
          <cell r="BG138" t="b">
            <v>0</v>
          </cell>
          <cell r="BH138" t="b">
            <v>0</v>
          </cell>
          <cell r="BI138" t="b">
            <v>0</v>
          </cell>
          <cell r="BJ138" t="b">
            <v>0</v>
          </cell>
          <cell r="BK138" t="b">
            <v>0</v>
          </cell>
          <cell r="BL138" t="b">
            <v>0</v>
          </cell>
          <cell r="BM138" t="b">
            <v>0</v>
          </cell>
          <cell r="BN138" t="b">
            <v>0</v>
          </cell>
          <cell r="BO138" t="b">
            <v>0</v>
          </cell>
          <cell r="BP138" t="b">
            <v>0</v>
          </cell>
          <cell r="BQ138" t="b">
            <v>0</v>
          </cell>
          <cell r="BR138" t="b">
            <v>0</v>
          </cell>
          <cell r="BS138" t="b">
            <v>0</v>
          </cell>
          <cell r="BT138" t="b">
            <v>0</v>
          </cell>
          <cell r="BU138" t="b">
            <v>0</v>
          </cell>
          <cell r="BV138" t="b">
            <v>0</v>
          </cell>
          <cell r="BW138" t="b">
            <v>0</v>
          </cell>
          <cell r="BX138" t="b">
            <v>0</v>
          </cell>
          <cell r="BY138" t="b">
            <v>0</v>
          </cell>
          <cell r="BZ138" t="b">
            <v>0</v>
          </cell>
          <cell r="CA138" t="b">
            <v>0</v>
          </cell>
          <cell r="CB138" t="b">
            <v>0</v>
          </cell>
          <cell r="CC138" t="b">
            <v>0</v>
          </cell>
          <cell r="CD138" t="b">
            <v>0</v>
          </cell>
          <cell r="CE138" t="b">
            <v>0</v>
          </cell>
          <cell r="CF138" t="b">
            <v>0</v>
          </cell>
          <cell r="CG138" t="b">
            <v>0</v>
          </cell>
          <cell r="CH138" t="b">
            <v>0</v>
          </cell>
        </row>
        <row r="139">
          <cell r="A139" t="str">
            <v>Spirit Shaman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8</v>
          </cell>
          <cell r="H139">
            <v>4</v>
          </cell>
          <cell r="I139" t="str">
            <v/>
          </cell>
          <cell r="J139" t="str">
            <v xml:space="preserve">Spirit Shaman Features:
</v>
          </cell>
          <cell r="K139" t="str">
            <v xml:space="preserve">proficient with club, dagger, dart, hand axe, javelin, longspear, quarterstaff, shortspear, spear, sling, shortbow, and throwing axe;
</v>
          </cell>
          <cell r="L139" t="str">
            <v xml:space="preserve">light armor and light shields proficiency;
</v>
          </cell>
          <cell r="M139" t="str">
            <v xml:space="preserve">Spirit Guide:  (1st)  a spirit companion who grants alertness to its host;
</v>
          </cell>
          <cell r="N139" t="str">
            <v xml:space="preserve">Wild Empathy:  (1st)  improve the attitude of animals with a d20+0 check;
</v>
          </cell>
          <cell r="O139" t="str">
            <v/>
          </cell>
          <cell r="P139" t="str">
            <v/>
          </cell>
          <cell r="Q139" t="str">
            <v/>
          </cell>
          <cell r="R139" t="str">
            <v/>
          </cell>
          <cell r="S139" t="str">
            <v/>
          </cell>
          <cell r="T139" t="str">
            <v/>
          </cell>
          <cell r="U139" t="str">
            <v/>
          </cell>
          <cell r="V139" t="str">
            <v/>
          </cell>
          <cell r="W139" t="str">
            <v/>
          </cell>
          <cell r="X139" t="str">
            <v/>
          </cell>
          <cell r="Y139" t="str">
            <v/>
          </cell>
          <cell r="Z139" t="str">
            <v/>
          </cell>
          <cell r="AA139" t="str">
            <v/>
          </cell>
          <cell r="AB139" t="str">
            <v/>
          </cell>
          <cell r="AI139" t="str">
            <v xml:space="preserve">
</v>
          </cell>
          <cell r="AP139" t="b">
            <v>0</v>
          </cell>
          <cell r="AQ139" t="b">
            <v>0</v>
          </cell>
          <cell r="AR139" t="b">
            <v>0</v>
          </cell>
          <cell r="AT139" t="b">
            <v>0</v>
          </cell>
          <cell r="AZ139" t="b">
            <v>0</v>
          </cell>
          <cell r="BA139" t="b">
            <v>0</v>
          </cell>
          <cell r="BH139" t="b">
            <v>0</v>
          </cell>
          <cell r="BI139" t="b">
            <v>0</v>
          </cell>
          <cell r="BJ139" t="b">
            <v>0</v>
          </cell>
          <cell r="BK139" t="b">
            <v>0</v>
          </cell>
          <cell r="BP139" t="b">
            <v>0</v>
          </cell>
          <cell r="BT139" t="b">
            <v>0</v>
          </cell>
          <cell r="BV139" t="b">
            <v>0</v>
          </cell>
          <cell r="CA139" t="b">
            <v>0</v>
          </cell>
          <cell r="CB139" t="b">
            <v>0</v>
          </cell>
          <cell r="CC139" t="b">
            <v>0</v>
          </cell>
          <cell r="CD139" t="b">
            <v>0</v>
          </cell>
          <cell r="CI139">
            <v>10</v>
          </cell>
          <cell r="CJ139" t="e">
            <v>#N/A</v>
          </cell>
          <cell r="CK139">
            <v>0</v>
          </cell>
          <cell r="CL139" t="str">
            <v/>
          </cell>
          <cell r="CM139" t="str">
            <v/>
          </cell>
          <cell r="CN139" t="str">
            <v/>
          </cell>
          <cell r="CO139" t="str">
            <v/>
          </cell>
          <cell r="CP139" t="str">
            <v/>
          </cell>
          <cell r="CQ139" t="str">
            <v/>
          </cell>
          <cell r="CR139" t="str">
            <v/>
          </cell>
          <cell r="CS139" t="str">
            <v/>
          </cell>
          <cell r="CT139" t="str">
            <v/>
          </cell>
          <cell r="CU139" t="str">
            <v/>
          </cell>
          <cell r="CV139" t="str">
            <v/>
          </cell>
          <cell r="CW139" t="str">
            <v/>
          </cell>
          <cell r="CX139" t="str">
            <v/>
          </cell>
          <cell r="CY139" t="str">
            <v/>
          </cell>
          <cell r="CZ139" t="str">
            <v/>
          </cell>
          <cell r="DA139" t="str">
            <v/>
          </cell>
          <cell r="DB139" t="str">
            <v/>
          </cell>
          <cell r="DC139" t="str">
            <v/>
          </cell>
          <cell r="DD139" t="str">
            <v/>
          </cell>
          <cell r="DE139" t="str">
            <v/>
          </cell>
        </row>
        <row r="140">
          <cell r="A140" t="str">
            <v>Swashbuckler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10</v>
          </cell>
          <cell r="H140">
            <v>4</v>
          </cell>
          <cell r="I140" t="str">
            <v/>
          </cell>
          <cell r="J140" t="str">
            <v xml:space="preserve">Swashbuckler Features:
</v>
          </cell>
          <cell r="K140" t="str">
            <v xml:space="preserve">simple and martial weapon proficiency;
</v>
          </cell>
          <cell r="L140" t="str">
            <v xml:space="preserve">light armor proficiency;
</v>
          </cell>
          <cell r="M140" t="str">
            <v xml:space="preserve">Weapon Finesse (ex):  (1st)  gains weapon finesse as a bonus feat;
</v>
          </cell>
          <cell r="N140" t="str">
            <v xml:space="preserve">Grace (ex):  (1st)  gainst a 1 bonus to reflex saving throws;
</v>
          </cell>
          <cell r="O140" t="str">
            <v/>
          </cell>
          <cell r="P140" t="str">
            <v/>
          </cell>
          <cell r="Q140" t="str">
            <v/>
          </cell>
          <cell r="R140" t="str">
            <v/>
          </cell>
          <cell r="S140" t="str">
            <v/>
          </cell>
          <cell r="T140" t="str">
            <v/>
          </cell>
          <cell r="U140" t="str">
            <v/>
          </cell>
          <cell r="V140" t="str">
            <v/>
          </cell>
          <cell r="W140" t="str">
            <v/>
          </cell>
          <cell r="AI140" t="str">
            <v xml:space="preserve">
</v>
          </cell>
          <cell r="AM140" t="b">
            <v>0</v>
          </cell>
          <cell r="AN140" t="b">
            <v>0</v>
          </cell>
          <cell r="AO140" t="b">
            <v>0</v>
          </cell>
          <cell r="AQ140" t="b">
            <v>0</v>
          </cell>
          <cell r="AR140" t="b">
            <v>0</v>
          </cell>
          <cell r="AT140" t="b">
            <v>0</v>
          </cell>
          <cell r="AW140" t="b">
            <v>0</v>
          </cell>
          <cell r="BD140" t="b">
            <v>0</v>
          </cell>
          <cell r="BT140" t="b">
            <v>0</v>
          </cell>
          <cell r="BX140" t="b">
            <v>0</v>
          </cell>
          <cell r="CD140" t="b">
            <v>0</v>
          </cell>
          <cell r="CE140" t="b">
            <v>0</v>
          </cell>
          <cell r="CH140" t="b">
            <v>0</v>
          </cell>
        </row>
        <row r="141">
          <cell r="A141" t="str">
            <v>War Mage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6</v>
          </cell>
          <cell r="H141">
            <v>2</v>
          </cell>
          <cell r="I141" t="str">
            <v/>
          </cell>
          <cell r="J141" t="str">
            <v xml:space="preserve">War Mage Features:
</v>
          </cell>
          <cell r="K141" t="str">
            <v xml:space="preserve">simple weapon proficiency;
</v>
          </cell>
          <cell r="L141" t="str">
            <v xml:space="preserve">light armor and light shields proficiency;
</v>
          </cell>
          <cell r="M141" t="str">
            <v xml:space="preserve">Armored Mage (ex):
  (1st)  may cast War Mage spells in light armor with no chance of Arcane Spell Failure;
</v>
          </cell>
          <cell r="N141" t="str">
            <v xml:space="preserve">Warmage Edge (ex):  (1st)  a warmage adds +4 damage to any spell that inflicts hit point damage;
</v>
          </cell>
          <cell r="O141" t="str">
            <v/>
          </cell>
          <cell r="P141" t="str">
            <v/>
          </cell>
          <cell r="Q141" t="str">
            <v/>
          </cell>
          <cell r="R141" t="str">
            <v/>
          </cell>
          <cell r="S141" t="str">
            <v/>
          </cell>
          <cell r="AI141" t="str">
            <v xml:space="preserve">
</v>
          </cell>
          <cell r="AP141" t="b">
            <v>0</v>
          </cell>
          <cell r="AQ141" t="b">
            <v>0</v>
          </cell>
          <cell r="AR141" t="b">
            <v>0</v>
          </cell>
          <cell r="BC141" t="b">
            <v>0</v>
          </cell>
          <cell r="BE141" t="b">
            <v>0</v>
          </cell>
          <cell r="BI141" t="b">
            <v>0</v>
          </cell>
          <cell r="BT141" t="b">
            <v>0</v>
          </cell>
          <cell r="CA141" t="b">
            <v>0</v>
          </cell>
          <cell r="CI141">
            <v>10</v>
          </cell>
          <cell r="CJ141" t="e">
            <v>#N/A</v>
          </cell>
          <cell r="CK141">
            <v>0</v>
          </cell>
          <cell r="CL141" t="str">
            <v/>
          </cell>
          <cell r="CM141" t="str">
            <v/>
          </cell>
          <cell r="CN141" t="str">
            <v/>
          </cell>
          <cell r="CO141" t="str">
            <v/>
          </cell>
          <cell r="CP141" t="str">
            <v/>
          </cell>
          <cell r="CQ141" t="str">
            <v/>
          </cell>
          <cell r="CR141" t="str">
            <v/>
          </cell>
          <cell r="CS141" t="str">
            <v/>
          </cell>
          <cell r="CT141" t="str">
            <v/>
          </cell>
          <cell r="CU141" t="str">
            <v/>
          </cell>
          <cell r="CV141" t="str">
            <v>A</v>
          </cell>
          <cell r="CW141" t="str">
            <v>A</v>
          </cell>
          <cell r="CX141" t="str">
            <v>A</v>
          </cell>
          <cell r="CY141" t="str">
            <v>A</v>
          </cell>
          <cell r="CZ141" t="str">
            <v>A</v>
          </cell>
          <cell r="DA141" t="str">
            <v>A</v>
          </cell>
          <cell r="DB141" t="str">
            <v>A</v>
          </cell>
          <cell r="DC141" t="str">
            <v>A</v>
          </cell>
          <cell r="DD141" t="str">
            <v>A</v>
          </cell>
          <cell r="DE141" t="str">
            <v>A</v>
          </cell>
        </row>
        <row r="142">
          <cell r="A142" t="str">
            <v>Warrior</v>
          </cell>
          <cell r="B142">
            <v>2</v>
          </cell>
          <cell r="C142">
            <v>3</v>
          </cell>
          <cell r="D142">
            <v>0.66666666666666663</v>
          </cell>
          <cell r="E142">
            <v>0.66666666666666663</v>
          </cell>
          <cell r="F142">
            <v>2</v>
          </cell>
          <cell r="G142">
            <v>10</v>
          </cell>
          <cell r="H142">
            <v>2</v>
          </cell>
          <cell r="I142" t="str">
            <v xml:space="preserve">Warrior Features:
simple and martial weapon proficiency;
light and medium armor and shield proficiency (not tower shields);
2 bonus feats;
</v>
          </cell>
          <cell r="J142" t="str">
            <v xml:space="preserve">Warrior Features:
</v>
          </cell>
          <cell r="K142" t="str">
            <v xml:space="preserve">simple and martial weapon proficiency;
</v>
          </cell>
          <cell r="L142" t="str">
            <v xml:space="preserve">light and medium armor and shield proficiency (not tower shields);
</v>
          </cell>
          <cell r="M142" t="str">
            <v xml:space="preserve">2 bonus feats;
</v>
          </cell>
          <cell r="AI142" t="str">
            <v xml:space="preserve">
</v>
          </cell>
          <cell r="AK142" t="b">
            <v>0</v>
          </cell>
          <cell r="AL142" t="b">
            <v>0</v>
          </cell>
          <cell r="AM142" t="b">
            <v>0</v>
          </cell>
          <cell r="AN142" t="b">
            <v>0</v>
          </cell>
          <cell r="AO142" t="b">
            <v>0</v>
          </cell>
          <cell r="AP142" t="b">
            <v>0</v>
          </cell>
          <cell r="AQ142" t="b">
            <v>0</v>
          </cell>
          <cell r="AR142" t="b">
            <v>0</v>
          </cell>
          <cell r="AS142" t="b">
            <v>0</v>
          </cell>
          <cell r="AT142" t="b">
            <v>0</v>
          </cell>
          <cell r="AU142" t="b">
            <v>0</v>
          </cell>
          <cell r="AV142" t="b">
            <v>0</v>
          </cell>
          <cell r="AW142" t="b">
            <v>0</v>
          </cell>
          <cell r="AX142" t="b">
            <v>0</v>
          </cell>
          <cell r="AY142" t="b">
            <v>1</v>
          </cell>
          <cell r="AZ142" t="b">
            <v>0</v>
          </cell>
          <cell r="BA142" t="b">
            <v>0</v>
          </cell>
          <cell r="BB142" t="b">
            <v>0</v>
          </cell>
          <cell r="BC142" t="b">
            <v>0</v>
          </cell>
          <cell r="BD142" t="b">
            <v>0</v>
          </cell>
          <cell r="BE142" t="b">
            <v>0</v>
          </cell>
          <cell r="BF142" t="b">
            <v>0</v>
          </cell>
          <cell r="BG142" t="b">
            <v>0</v>
          </cell>
          <cell r="BH142" t="b">
            <v>0</v>
          </cell>
          <cell r="BI142" t="b">
            <v>0</v>
          </cell>
          <cell r="BJ142" t="b">
            <v>0</v>
          </cell>
          <cell r="BK142" t="b">
            <v>0</v>
          </cell>
          <cell r="BL142" t="b">
            <v>0</v>
          </cell>
          <cell r="BM142" t="b">
            <v>0</v>
          </cell>
          <cell r="BN142" t="b">
            <v>0</v>
          </cell>
          <cell r="BO142" t="b">
            <v>0</v>
          </cell>
          <cell r="BP142" t="b">
            <v>0</v>
          </cell>
          <cell r="BQ142" t="b">
            <v>1</v>
          </cell>
          <cell r="BR142" t="b">
            <v>0</v>
          </cell>
          <cell r="BS142" t="b">
            <v>0</v>
          </cell>
          <cell r="BT142" t="b">
            <v>0</v>
          </cell>
          <cell r="BU142" t="b">
            <v>0</v>
          </cell>
          <cell r="BV142" t="b">
            <v>0</v>
          </cell>
          <cell r="BW142" t="b">
            <v>1</v>
          </cell>
          <cell r="BX142" t="b">
            <v>0</v>
          </cell>
          <cell r="BY142" t="b">
            <v>0</v>
          </cell>
          <cell r="BZ142" t="b">
            <v>0</v>
          </cell>
          <cell r="CA142" t="b">
            <v>0</v>
          </cell>
          <cell r="CB142" t="b">
            <v>1</v>
          </cell>
          <cell r="CC142" t="b">
            <v>1</v>
          </cell>
          <cell r="CD142" t="b">
            <v>0</v>
          </cell>
          <cell r="CE142" t="b">
            <v>1</v>
          </cell>
          <cell r="CF142" t="b">
            <v>0</v>
          </cell>
          <cell r="CG142" t="b">
            <v>0</v>
          </cell>
          <cell r="CH142" t="b">
            <v>0</v>
          </cell>
        </row>
        <row r="143">
          <cell r="A143" t="str">
            <v>Wilder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4</v>
          </cell>
          <cell r="H143">
            <v>6</v>
          </cell>
          <cell r="I143" t="str">
            <v/>
          </cell>
          <cell r="J143" t="str">
            <v xml:space="preserve">Wilder Features:
</v>
          </cell>
          <cell r="K143" t="str">
            <v xml:space="preserve">simple weapon proficiency;
</v>
          </cell>
          <cell r="L143" t="str">
            <v xml:space="preserve">light armor and shield proficiency;
</v>
          </cell>
          <cell r="M143" t="str">
            <v xml:space="preserve">Wild Surge (su):  (1st)  may increase the potency of psionic power with the possibility of psychic enervation;
</v>
          </cell>
          <cell r="N143" t="str">
            <v/>
          </cell>
          <cell r="O143" t="str">
            <v/>
          </cell>
          <cell r="P143" t="str">
            <v/>
          </cell>
          <cell r="AI143" t="str">
            <v xml:space="preserve">
</v>
          </cell>
          <cell r="AL143" t="b">
            <v>0</v>
          </cell>
          <cell r="AM143" t="b">
            <v>0</v>
          </cell>
          <cell r="AN143" t="b">
            <v>0</v>
          </cell>
          <cell r="AO143" t="b">
            <v>0</v>
          </cell>
          <cell r="AP143" t="b">
            <v>0</v>
          </cell>
          <cell r="AQ143" t="b">
            <v>0</v>
          </cell>
          <cell r="AR143" t="b">
            <v>0</v>
          </cell>
          <cell r="AW143" t="b">
            <v>0</v>
          </cell>
          <cell r="BC143" t="b">
            <v>0</v>
          </cell>
          <cell r="BD143" t="b">
            <v>0</v>
          </cell>
          <cell r="BM143" t="b">
            <v>0</v>
          </cell>
          <cell r="BP143" t="b">
            <v>0</v>
          </cell>
          <cell r="BT143" t="b">
            <v>0</v>
          </cell>
          <cell r="BU143" t="b">
            <v>0</v>
          </cell>
          <cell r="BX143" t="b">
            <v>0</v>
          </cell>
          <cell r="CB143" t="b">
            <v>0</v>
          </cell>
          <cell r="CD143" t="b">
            <v>0</v>
          </cell>
          <cell r="CE143" t="b">
            <v>0</v>
          </cell>
          <cell r="CI143">
            <v>10</v>
          </cell>
          <cell r="CL143" t="str">
            <v/>
          </cell>
          <cell r="CM143" t="str">
            <v/>
          </cell>
          <cell r="CN143" t="str">
            <v/>
          </cell>
        </row>
        <row r="144">
          <cell r="A144" t="str">
            <v>-- Prestige Classes --</v>
          </cell>
        </row>
        <row r="145">
          <cell r="A145" t="str">
            <v>Arcane Archer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8</v>
          </cell>
          <cell r="H145">
            <v>4</v>
          </cell>
          <cell r="I145" t="str">
            <v/>
          </cell>
          <cell r="J145" t="str">
            <v xml:space="preserve">Arcane Archer Features:
</v>
          </cell>
          <cell r="K145" t="str">
            <v xml:space="preserve">simple and martial weapon proficiency;
</v>
          </cell>
          <cell r="L145" t="str">
            <v xml:space="preserve">light and medium armor and shield proficiency;
</v>
          </cell>
          <cell r="M145" t="str">
            <v xml:space="preserve">enchant arrow (su): non-magical arrows gain a +0 enhancement bonus automatically;
</v>
          </cell>
          <cell r="N145" t="str">
            <v/>
          </cell>
          <cell r="O145" t="str">
            <v/>
          </cell>
          <cell r="P145" t="str">
            <v/>
          </cell>
          <cell r="Q145" t="str">
            <v/>
          </cell>
          <cell r="R145" t="str">
            <v/>
          </cell>
          <cell r="AI145" t="str">
            <v xml:space="preserve">
</v>
          </cell>
          <cell r="AQ145" t="b">
            <v>0</v>
          </cell>
          <cell r="AR145" t="b">
            <v>0</v>
          </cell>
          <cell r="BB145" t="b">
            <v>0</v>
          </cell>
          <cell r="BP145" t="b">
            <v>0</v>
          </cell>
          <cell r="BQ145" t="b">
            <v>0</v>
          </cell>
          <cell r="BV145" t="b">
            <v>0</v>
          </cell>
          <cell r="CB145" t="b">
            <v>0</v>
          </cell>
          <cell r="CC145" t="b">
            <v>0</v>
          </cell>
          <cell r="CH145" t="b">
            <v>0</v>
          </cell>
        </row>
        <row r="146">
          <cell r="A146" t="str">
            <v>Arcane Trickster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6</v>
          </cell>
          <cell r="H146">
            <v>4</v>
          </cell>
          <cell r="I146" t="str">
            <v/>
          </cell>
          <cell r="J146" t="str">
            <v xml:space="preserve">Arcane Trickster Features:
</v>
          </cell>
          <cell r="K146" t="str">
            <v xml:space="preserve">additional spells: increase in arcane trickster level increases the number of spells per day in other spellcasting classes;
</v>
          </cell>
          <cell r="L146" t="str">
            <v xml:space="preserve">ranged legerdemain (su): use Disable Device, Open Lock, or Slight of Hand with a range of 30' at +5 to the DC (0 times/day);
</v>
          </cell>
          <cell r="M146" t="str">
            <v/>
          </cell>
          <cell r="N146" t="str">
            <v/>
          </cell>
          <cell r="AI146" t="str">
            <v xml:space="preserve">
</v>
          </cell>
          <cell r="AJ146">
            <v>0</v>
          </cell>
          <cell r="AK146" t="b">
            <v>0</v>
          </cell>
          <cell r="AM146" t="b">
            <v>0</v>
          </cell>
          <cell r="AN146" t="b">
            <v>0</v>
          </cell>
          <cell r="AO146" t="b">
            <v>0</v>
          </cell>
          <cell r="AP146" t="b">
            <v>0</v>
          </cell>
          <cell r="AQ146" t="b">
            <v>0</v>
          </cell>
          <cell r="AR146" t="b">
            <v>0</v>
          </cell>
          <cell r="AS146" t="b">
            <v>0</v>
          </cell>
          <cell r="AT146" t="b">
            <v>0</v>
          </cell>
          <cell r="AU146" t="b">
            <v>0</v>
          </cell>
          <cell r="AV146" t="b">
            <v>0</v>
          </cell>
          <cell r="AW146" t="b">
            <v>0</v>
          </cell>
          <cell r="AY146" t="b">
            <v>0</v>
          </cell>
          <cell r="BB146" t="b">
            <v>0</v>
          </cell>
          <cell r="BD146" t="b">
            <v>0</v>
          </cell>
          <cell r="BE146" t="b">
            <v>0</v>
          </cell>
          <cell r="BF146" t="b">
            <v>0</v>
          </cell>
          <cell r="BG146" t="b">
            <v>0</v>
          </cell>
          <cell r="BO146" t="b">
            <v>0</v>
          </cell>
          <cell r="BP146" t="b">
            <v>0</v>
          </cell>
          <cell r="BQ146" t="b">
            <v>0</v>
          </cell>
          <cell r="BR146" t="b">
            <v>0</v>
          </cell>
          <cell r="BT146" t="b">
            <v>0</v>
          </cell>
          <cell r="BW146" t="b">
            <v>0</v>
          </cell>
          <cell r="BY146" t="b">
            <v>0</v>
          </cell>
          <cell r="BZ146" t="b">
            <v>0</v>
          </cell>
          <cell r="CA146" t="b">
            <v>0</v>
          </cell>
          <cell r="CB146" t="b">
            <v>0</v>
          </cell>
          <cell r="CD146" t="b">
            <v>0</v>
          </cell>
          <cell r="CE146" t="b">
            <v>0</v>
          </cell>
          <cell r="CH146" t="b">
            <v>0</v>
          </cell>
        </row>
        <row r="147">
          <cell r="A147" t="str">
            <v>Archmage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4</v>
          </cell>
          <cell r="H147">
            <v>2</v>
          </cell>
          <cell r="I147" t="str">
            <v/>
          </cell>
          <cell r="J147" t="str">
            <v xml:space="preserve">Archmage features:
</v>
          </cell>
          <cell r="K147" t="str">
            <v xml:space="preserve">additional spells: increase in archmage level increases the number of spells per day in other spellcasting classes;
</v>
          </cell>
          <cell r="L147" t="str">
            <v xml:space="preserve">high arcana:  Secret unknown to lesser wizards and sorcerers.  0 total secrets learned;
</v>
          </cell>
          <cell r="AI147" t="str">
            <v xml:space="preserve">
</v>
          </cell>
          <cell r="AJ147">
            <v>0</v>
          </cell>
          <cell r="AP147" t="b">
            <v>0</v>
          </cell>
          <cell r="AR147" t="b">
            <v>0</v>
          </cell>
          <cell r="BE147" t="b">
            <v>0</v>
          </cell>
          <cell r="BF147" t="b">
            <v>0</v>
          </cell>
          <cell r="BG147" t="b">
            <v>0</v>
          </cell>
          <cell r="BO147" t="b">
            <v>0</v>
          </cell>
          <cell r="BT147" t="b">
            <v>0</v>
          </cell>
          <cell r="BW147" t="b">
            <v>0</v>
          </cell>
          <cell r="CA147" t="b">
            <v>0</v>
          </cell>
        </row>
        <row r="148">
          <cell r="A148" t="str">
            <v>Assassin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6</v>
          </cell>
          <cell r="H148">
            <v>4</v>
          </cell>
          <cell r="I148" t="str">
            <v/>
          </cell>
          <cell r="J148" t="str">
            <v xml:space="preserve">Assassin Features:
</v>
          </cell>
          <cell r="K148" t="str">
            <v xml:space="preserve">proficient with crossbow (hand, heavy or light), dagger, dart, rapier, sap, shortbow (normal or composite) and shortsword
</v>
          </cell>
          <cell r="L148" t="str">
            <v xml:space="preserve">light armor proficiency;
</v>
          </cell>
          <cell r="M148" t="str">
            <v xml:space="preserve">sneak attack:+0d6 damage when flanking or attacking an opponent denied a Dex bonus to AC;
</v>
          </cell>
          <cell r="N148" t="str">
            <v xml:space="preserve">death attack: paralyze or kill target after 3 rounds of study (DC14);
</v>
          </cell>
          <cell r="O148" t="str">
            <v xml:space="preserve">may use poison without accidents;
</v>
          </cell>
          <cell r="P148" t="str">
            <v/>
          </cell>
          <cell r="Q148" t="str">
            <v/>
          </cell>
          <cell r="R148" t="str">
            <v/>
          </cell>
          <cell r="AI148" t="str">
            <v xml:space="preserve">
</v>
          </cell>
          <cell r="AM148" t="b">
            <v>0</v>
          </cell>
          <cell r="AN148" t="b">
            <v>0</v>
          </cell>
          <cell r="AO148" t="b">
            <v>0</v>
          </cell>
          <cell r="AQ148" t="b">
            <v>0</v>
          </cell>
          <cell r="AR148" t="b">
            <v>0</v>
          </cell>
          <cell r="AS148" t="b">
            <v>0</v>
          </cell>
          <cell r="AT148" t="b">
            <v>0</v>
          </cell>
          <cell r="AU148" t="b">
            <v>0</v>
          </cell>
          <cell r="AV148" t="b">
            <v>0</v>
          </cell>
          <cell r="AW148" t="b">
            <v>0</v>
          </cell>
          <cell r="AX148" t="b">
            <v>0</v>
          </cell>
          <cell r="AY148" t="b">
            <v>0</v>
          </cell>
          <cell r="BB148" t="b">
            <v>0</v>
          </cell>
          <cell r="BC148" t="b">
            <v>0</v>
          </cell>
          <cell r="BD148" t="b">
            <v>0</v>
          </cell>
          <cell r="BP148" t="b">
            <v>0</v>
          </cell>
          <cell r="BQ148" t="b">
            <v>0</v>
          </cell>
          <cell r="BR148" t="b">
            <v>0</v>
          </cell>
          <cell r="BW148" t="b">
            <v>0</v>
          </cell>
          <cell r="BX148" t="b">
            <v>0</v>
          </cell>
          <cell r="BY148" t="b">
            <v>0</v>
          </cell>
          <cell r="CB148" t="b">
            <v>0</v>
          </cell>
          <cell r="CD148" t="b">
            <v>0</v>
          </cell>
          <cell r="CE148" t="b">
            <v>0</v>
          </cell>
          <cell r="CF148" t="b">
            <v>0</v>
          </cell>
          <cell r="CH148" t="b">
            <v>0</v>
          </cell>
          <cell r="CI148">
            <v>14</v>
          </cell>
          <cell r="CJ148" t="e">
            <v>#N/A</v>
          </cell>
          <cell r="CK148">
            <v>0</v>
          </cell>
          <cell r="CL148" t="str">
            <v>--</v>
          </cell>
          <cell r="CM148" t="str">
            <v/>
          </cell>
          <cell r="CN148" t="str">
            <v/>
          </cell>
          <cell r="CO148" t="str">
            <v/>
          </cell>
          <cell r="CP148" t="str">
            <v/>
          </cell>
          <cell r="CQ148" t="str">
            <v>--</v>
          </cell>
          <cell r="CR148" t="str">
            <v>--</v>
          </cell>
          <cell r="CS148" t="str">
            <v>--</v>
          </cell>
          <cell r="CT148" t="str">
            <v>--</v>
          </cell>
          <cell r="CU148" t="str">
            <v>--</v>
          </cell>
          <cell r="CV148" t="str">
            <v>--</v>
          </cell>
          <cell r="CW148" t="str">
            <v>--</v>
          </cell>
          <cell r="CX148" t="str">
            <v>--</v>
          </cell>
          <cell r="CY148" t="str">
            <v>--</v>
          </cell>
          <cell r="CZ148" t="str">
            <v>--</v>
          </cell>
          <cell r="DA148" t="str">
            <v>--</v>
          </cell>
          <cell r="DB148" t="str">
            <v>--</v>
          </cell>
          <cell r="DC148" t="str">
            <v>--</v>
          </cell>
          <cell r="DD148" t="str">
            <v>--</v>
          </cell>
          <cell r="DE148" t="str">
            <v>--</v>
          </cell>
        </row>
        <row r="149">
          <cell r="A149" t="str">
            <v>Blackguard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10</v>
          </cell>
          <cell r="H149">
            <v>2</v>
          </cell>
          <cell r="I149" t="str">
            <v/>
          </cell>
          <cell r="J149" t="str">
            <v xml:space="preserve">Blackguard Features:
</v>
          </cell>
          <cell r="K149" t="str">
            <v xml:space="preserve">simple and martial weapon proficiency;
</v>
          </cell>
          <cell r="L149" t="str">
            <v xml:space="preserve">all armor and shield proficiency;
</v>
          </cell>
          <cell r="M149" t="str">
            <v xml:space="preserve">detect good (sp): detect the presence of good at will;
</v>
          </cell>
          <cell r="N149" t="str">
            <v xml:space="preserve">may use poison without accidents;
</v>
          </cell>
          <cell r="O149" t="str">
            <v xml:space="preserve">aura of evil (ex):  blackguard's aura of evil is equal to his class levels plus cleric levels (if any);
</v>
          </cell>
          <cell r="P149" t="str">
            <v/>
          </cell>
          <cell r="Q149" t="str">
            <v/>
          </cell>
          <cell r="R149" t="str">
            <v/>
          </cell>
          <cell r="S149" t="str">
            <v/>
          </cell>
          <cell r="T149" t="str">
            <v/>
          </cell>
          <cell r="U149" t="str">
            <v/>
          </cell>
          <cell r="V149" t="str">
            <v/>
          </cell>
          <cell r="W149" t="str">
            <v/>
          </cell>
          <cell r="X149" t="str">
            <v/>
          </cell>
          <cell r="Y149" t="str">
            <v/>
          </cell>
          <cell r="Z149" t="str">
            <v/>
          </cell>
          <cell r="AA149" t="str">
            <v/>
          </cell>
          <cell r="AI149" t="str">
            <v xml:space="preserve">
</v>
          </cell>
          <cell r="AP149" t="b">
            <v>0</v>
          </cell>
          <cell r="AQ149" t="b">
            <v>0</v>
          </cell>
          <cell r="AT149" t="b">
            <v>0</v>
          </cell>
          <cell r="AZ149" t="b">
            <v>0</v>
          </cell>
          <cell r="BA149" t="b">
            <v>0</v>
          </cell>
          <cell r="BC149" t="b">
            <v>0</v>
          </cell>
          <cell r="BF149" t="b">
            <v>0</v>
          </cell>
          <cell r="BT149" t="b">
            <v>0</v>
          </cell>
          <cell r="BV149" t="b">
            <v>0</v>
          </cell>
          <cell r="CI149">
            <v>11</v>
          </cell>
          <cell r="CJ149" t="e">
            <v>#N/A</v>
          </cell>
          <cell r="CK149">
            <v>0</v>
          </cell>
          <cell r="CL149" t="str">
            <v>--</v>
          </cell>
          <cell r="CM149" t="str">
            <v/>
          </cell>
          <cell r="CN149" t="str">
            <v/>
          </cell>
          <cell r="CO149" t="str">
            <v/>
          </cell>
          <cell r="CP149" t="str">
            <v/>
          </cell>
          <cell r="CQ149" t="str">
            <v>--</v>
          </cell>
          <cell r="CR149" t="str">
            <v>--</v>
          </cell>
          <cell r="CS149" t="str">
            <v>--</v>
          </cell>
          <cell r="CT149" t="str">
            <v>--</v>
          </cell>
          <cell r="CU149" t="str">
            <v>--</v>
          </cell>
          <cell r="CV149" t="str">
            <v>--</v>
          </cell>
          <cell r="CW149" t="str">
            <v>--</v>
          </cell>
          <cell r="CX149" t="str">
            <v>--</v>
          </cell>
          <cell r="CY149" t="str">
            <v>--</v>
          </cell>
          <cell r="CZ149" t="str">
            <v>--</v>
          </cell>
          <cell r="DA149" t="str">
            <v>--</v>
          </cell>
          <cell r="DB149" t="str">
            <v>--</v>
          </cell>
          <cell r="DC149" t="str">
            <v>--</v>
          </cell>
          <cell r="DD149" t="str">
            <v>--</v>
          </cell>
          <cell r="DE149" t="str">
            <v>--</v>
          </cell>
        </row>
        <row r="150">
          <cell r="A150" t="str">
            <v>Bonded Summoner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4</v>
          </cell>
          <cell r="H150">
            <v>2</v>
          </cell>
          <cell r="I150" t="str">
            <v/>
          </cell>
          <cell r="J150" t="str">
            <v xml:space="preserve">Bonded Summoner Features:
</v>
          </cell>
          <cell r="K150" t="str">
            <v xml:space="preserve">Elemental Companion:  calls a medium elemental to replace his familiar;
</v>
          </cell>
          <cell r="L150" t="str">
            <v xml:space="preserve">Resistance to Energy (ex):  gains resistance 5 against energy from his element of study;
</v>
          </cell>
          <cell r="M150" t="str">
            <v/>
          </cell>
          <cell r="N150" t="str">
            <v/>
          </cell>
          <cell r="O150" t="str">
            <v/>
          </cell>
          <cell r="P150" t="str">
            <v/>
          </cell>
          <cell r="Q150" t="str">
            <v/>
          </cell>
          <cell r="R150" t="str">
            <v/>
          </cell>
          <cell r="S150" t="str">
            <v/>
          </cell>
          <cell r="T150" t="str">
            <v/>
          </cell>
          <cell r="AI150" t="str">
            <v xml:space="preserve">
</v>
          </cell>
          <cell r="AJ150">
            <v>0</v>
          </cell>
          <cell r="AP150" t="b">
            <v>0</v>
          </cell>
          <cell r="AQ150" t="b">
            <v>0</v>
          </cell>
          <cell r="AR150" t="b">
            <v>0</v>
          </cell>
          <cell r="AS150" t="b">
            <v>0</v>
          </cell>
          <cell r="BE150" t="b">
            <v>0</v>
          </cell>
          <cell r="BF150" t="b">
            <v>0</v>
          </cell>
          <cell r="BG150" t="b">
            <v>0</v>
          </cell>
          <cell r="BH150" t="b">
            <v>0</v>
          </cell>
          <cell r="BI150" t="b">
            <v>0</v>
          </cell>
          <cell r="BJ150" t="b">
            <v>0</v>
          </cell>
          <cell r="BK150" t="b">
            <v>0</v>
          </cell>
          <cell r="BL150" t="b">
            <v>0</v>
          </cell>
          <cell r="BN150" t="b">
            <v>0</v>
          </cell>
          <cell r="BO150" t="b">
            <v>0</v>
          </cell>
          <cell r="BT150" t="b">
            <v>0</v>
          </cell>
          <cell r="CA150" t="b">
            <v>0</v>
          </cell>
        </row>
        <row r="151">
          <cell r="A151" t="str">
            <v>Dragon Disciple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12</v>
          </cell>
          <cell r="H151">
            <v>2</v>
          </cell>
          <cell r="I151" t="str">
            <v/>
          </cell>
          <cell r="J151" t="str">
            <v xml:space="preserve">Dragon Disciple Features:
</v>
          </cell>
          <cell r="K151" t="str">
            <v xml:space="preserve">natural armor increase (ex):
</v>
          </cell>
          <cell r="L151" t="str">
            <v xml:space="preserve">    (1st) natural armor increase +1;
</v>
          </cell>
          <cell r="M151" t="str">
            <v/>
          </cell>
          <cell r="N151" t="str">
            <v/>
          </cell>
          <cell r="O151" t="str">
            <v xml:space="preserve">bonus spells (sp): may cast 0 bonus spells in other spellcasting classes per day;
</v>
          </cell>
          <cell r="P151" t="str">
            <v/>
          </cell>
          <cell r="Q151" t="str">
            <v/>
          </cell>
          <cell r="R151" t="str">
            <v/>
          </cell>
          <cell r="S151" t="str">
            <v/>
          </cell>
          <cell r="T151" t="str">
            <v/>
          </cell>
          <cell r="U151" t="str">
            <v/>
          </cell>
          <cell r="V151" t="str">
            <v/>
          </cell>
          <cell r="W151" t="str">
            <v/>
          </cell>
          <cell r="X151" t="str">
            <v/>
          </cell>
          <cell r="Y151" t="str">
            <v/>
          </cell>
          <cell r="AI151" t="str">
            <v xml:space="preserve">
</v>
          </cell>
          <cell r="AP151" t="b">
            <v>0</v>
          </cell>
          <cell r="AQ151" t="b">
            <v>0</v>
          </cell>
          <cell r="AR151" t="b">
            <v>0</v>
          </cell>
          <cell r="AT151" t="b">
            <v>0</v>
          </cell>
          <cell r="AW151" t="b">
            <v>0</v>
          </cell>
          <cell r="AY151" t="b">
            <v>0</v>
          </cell>
          <cell r="BE151" t="b">
            <v>0</v>
          </cell>
          <cell r="BF151" t="b">
            <v>0</v>
          </cell>
          <cell r="BG151" t="b">
            <v>0</v>
          </cell>
          <cell r="BO151" t="b">
            <v>0</v>
          </cell>
          <cell r="BP151" t="b">
            <v>0</v>
          </cell>
          <cell r="BT151" t="b">
            <v>0</v>
          </cell>
          <cell r="BW151" t="b">
            <v>0</v>
          </cell>
          <cell r="BZ151" t="b">
            <v>0</v>
          </cell>
          <cell r="CA151" t="b">
            <v>0</v>
          </cell>
          <cell r="CB151" t="b">
            <v>0</v>
          </cell>
        </row>
        <row r="152">
          <cell r="A152" t="str">
            <v>Duelist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10</v>
          </cell>
          <cell r="H152">
            <v>4</v>
          </cell>
          <cell r="I152" t="str">
            <v/>
          </cell>
          <cell r="J152" t="str">
            <v xml:space="preserve">Duelist Features:
</v>
          </cell>
          <cell r="K152" t="str">
            <v xml:space="preserve">simple and martial weapon proficiency;
</v>
          </cell>
          <cell r="L152" t="str">
            <v xml:space="preserve">canny defense (ex):  gains a +0 to AC while wielding a weapon and no armor;
</v>
          </cell>
          <cell r="M152" t="str">
            <v/>
          </cell>
          <cell r="N152" t="str">
            <v/>
          </cell>
          <cell r="O152" t="str">
            <v/>
          </cell>
          <cell r="P152" t="str">
            <v/>
          </cell>
          <cell r="Q152" t="str">
            <v/>
          </cell>
          <cell r="R152" t="str">
            <v/>
          </cell>
          <cell r="AI152" t="str">
            <v xml:space="preserve">
</v>
          </cell>
          <cell r="AM152" t="b">
            <v>0</v>
          </cell>
          <cell r="AN152" t="b">
            <v>0</v>
          </cell>
          <cell r="AW152" t="b">
            <v>0</v>
          </cell>
          <cell r="BD152" t="b">
            <v>0</v>
          </cell>
          <cell r="BP152" t="b">
            <v>0</v>
          </cell>
          <cell r="BS152" t="b">
            <v>0</v>
          </cell>
          <cell r="BX152" t="b">
            <v>0</v>
          </cell>
          <cell r="CB152" t="b">
            <v>0</v>
          </cell>
          <cell r="CE152" t="b">
            <v>0</v>
          </cell>
        </row>
        <row r="153">
          <cell r="A153" t="str">
            <v>Dwarven Defender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12</v>
          </cell>
          <cell r="H153">
            <v>2</v>
          </cell>
          <cell r="I153" t="str">
            <v/>
          </cell>
          <cell r="J153" t="str">
            <v xml:space="preserve">Dwarven Defender Features:
</v>
          </cell>
          <cell r="K153" t="str">
            <v xml:space="preserve">simple and martial weapon proficiency;
</v>
          </cell>
          <cell r="L153" t="str">
            <v xml:space="preserve">all armor and shield proficiency;
</v>
          </cell>
          <cell r="M153" t="str">
            <v xml:space="preserve">defensive stance: +2 Str, +4 Con, +2 resistance bonus to all saving throws, +4 dodge bonus to AC, 0 times/day;
</v>
          </cell>
          <cell r="N153" t="str">
            <v/>
          </cell>
          <cell r="O153" t="str">
            <v/>
          </cell>
          <cell r="P153" t="str">
            <v/>
          </cell>
          <cell r="Q153" t="str">
            <v/>
          </cell>
          <cell r="R153" t="str">
            <v/>
          </cell>
          <cell r="AI153" t="str">
            <v xml:space="preserve">
</v>
          </cell>
          <cell r="AQ153" t="b">
            <v>0</v>
          </cell>
          <cell r="AR153" t="b">
            <v>0</v>
          </cell>
          <cell r="BP153" t="b">
            <v>0</v>
          </cell>
          <cell r="BX153" t="b">
            <v>0</v>
          </cell>
          <cell r="CB153" t="b">
            <v>0</v>
          </cell>
        </row>
        <row r="154">
          <cell r="A154" t="str">
            <v>Eldritch Knight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8</v>
          </cell>
          <cell r="H154">
            <v>2</v>
          </cell>
          <cell r="I154" t="str">
            <v/>
          </cell>
          <cell r="J154" t="str">
            <v xml:space="preserve">Eldritch Knight Features:
</v>
          </cell>
          <cell r="K154" t="str">
            <v/>
          </cell>
          <cell r="AI154" t="str">
            <v xml:space="preserve">
</v>
          </cell>
          <cell r="AJ154">
            <v>0</v>
          </cell>
          <cell r="AP154" t="b">
            <v>0</v>
          </cell>
          <cell r="AQ154" t="b">
            <v>0</v>
          </cell>
          <cell r="AR154" t="b">
            <v>0</v>
          </cell>
          <cell r="AS154" t="b">
            <v>0</v>
          </cell>
          <cell r="BD154" t="b">
            <v>0</v>
          </cell>
          <cell r="BE154" t="b">
            <v>0</v>
          </cell>
          <cell r="BO154" t="b">
            <v>0</v>
          </cell>
          <cell r="BV154" t="b">
            <v>0</v>
          </cell>
          <cell r="BX154" t="b">
            <v>0</v>
          </cell>
          <cell r="CA154" t="b">
            <v>0</v>
          </cell>
          <cell r="CD154" t="b">
            <v>0</v>
          </cell>
        </row>
        <row r="155">
          <cell r="A155" t="str">
            <v>Hierophant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8</v>
          </cell>
          <cell r="H155">
            <v>4</v>
          </cell>
          <cell r="I155" t="str">
            <v/>
          </cell>
          <cell r="J155" t="str">
            <v xml:space="preserve">Heirophant features:
</v>
          </cell>
          <cell r="K155" t="str">
            <v xml:space="preserve">special ability:  Each level of Heirophant earns a special ability;
</v>
          </cell>
          <cell r="AI155" t="str">
            <v xml:space="preserve">
</v>
          </cell>
          <cell r="AP155" t="b">
            <v>0</v>
          </cell>
          <cell r="AQ155" t="b">
            <v>0</v>
          </cell>
          <cell r="AR155" t="b">
            <v>0</v>
          </cell>
          <cell r="AT155" t="b">
            <v>0</v>
          </cell>
          <cell r="BA155" t="b">
            <v>0</v>
          </cell>
          <cell r="BE155" t="b">
            <v>0</v>
          </cell>
          <cell r="BF155" t="b">
            <v>0</v>
          </cell>
          <cell r="BT155" t="b">
            <v>0</v>
          </cell>
          <cell r="CA155" t="b">
            <v>0</v>
          </cell>
        </row>
        <row r="156">
          <cell r="A156" t="str">
            <v>Horizon Walker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8</v>
          </cell>
          <cell r="H156">
            <v>4</v>
          </cell>
          <cell r="I156" t="str">
            <v/>
          </cell>
          <cell r="J156" t="str">
            <v xml:space="preserve">Horizon Walker features:
</v>
          </cell>
          <cell r="K156" t="str">
            <v xml:space="preserve">terrain mastery:  each level 1-5 gains mastery of one specific mundane terrain;
</v>
          </cell>
          <cell r="L156" t="str">
            <v/>
          </cell>
          <cell r="AI156" t="str">
            <v xml:space="preserve">
</v>
          </cell>
          <cell r="AM156" t="b">
            <v>0</v>
          </cell>
          <cell r="AO156" t="b">
            <v>0</v>
          </cell>
          <cell r="AT156" t="b">
            <v>0</v>
          </cell>
          <cell r="AZ156" t="b">
            <v>0</v>
          </cell>
          <cell r="BB156" t="b">
            <v>0</v>
          </cell>
          <cell r="BO156" t="b">
            <v>0</v>
          </cell>
          <cell r="BP156" t="b">
            <v>0</v>
          </cell>
          <cell r="BQ156" t="b">
            <v>0</v>
          </cell>
          <cell r="BT156" t="b">
            <v>0</v>
          </cell>
          <cell r="BV156" t="b">
            <v>0</v>
          </cell>
          <cell r="BZ156" t="b">
            <v>0</v>
          </cell>
          <cell r="CB156" t="b">
            <v>0</v>
          </cell>
          <cell r="CC156" t="b">
            <v>0</v>
          </cell>
        </row>
        <row r="157">
          <cell r="A157" t="str">
            <v>Loremaster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4</v>
          </cell>
          <cell r="H157">
            <v>4</v>
          </cell>
          <cell r="I157" t="str">
            <v/>
          </cell>
          <cell r="J157" t="str">
            <v xml:space="preserve">Loremaster Features:
</v>
          </cell>
          <cell r="K157" t="str">
            <v xml:space="preserve">additional spells: increase in loremaster level increases the number of spells per day in other spellcasting classes;
</v>
          </cell>
          <cell r="L157" t="str">
            <v xml:space="preserve">gain secrets at 1st and higher levels;
</v>
          </cell>
          <cell r="M157" t="str">
            <v xml:space="preserve">gain bonus languages;
</v>
          </cell>
          <cell r="N157" t="str">
            <v/>
          </cell>
          <cell r="O157" t="str">
            <v/>
          </cell>
          <cell r="AI157" t="str">
            <v xml:space="preserve">
</v>
          </cell>
          <cell r="AJ157">
            <v>0</v>
          </cell>
          <cell r="AK157" t="b">
            <v>0</v>
          </cell>
          <cell r="AP157" t="b">
            <v>0</v>
          </cell>
          <cell r="AS157" t="b">
            <v>0</v>
          </cell>
          <cell r="AY157" t="b">
            <v>0</v>
          </cell>
          <cell r="AZ157" t="b">
            <v>0</v>
          </cell>
          <cell r="BA157" t="b">
            <v>0</v>
          </cell>
          <cell r="BE157" t="b">
            <v>0</v>
          </cell>
          <cell r="BF157" t="b">
            <v>0</v>
          </cell>
          <cell r="BG157" t="b">
            <v>0</v>
          </cell>
          <cell r="BO157" t="b">
            <v>0</v>
          </cell>
          <cell r="BS157" t="b">
            <v>0</v>
          </cell>
          <cell r="BT157" t="b">
            <v>0</v>
          </cell>
          <cell r="BZ157" t="b">
            <v>0</v>
          </cell>
          <cell r="CA157" t="b">
            <v>0</v>
          </cell>
          <cell r="CF157" t="b">
            <v>0</v>
          </cell>
        </row>
        <row r="158">
          <cell r="A158" t="str">
            <v>Mystic Theurge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4</v>
          </cell>
          <cell r="H158">
            <v>2</v>
          </cell>
          <cell r="I158" t="str">
            <v/>
          </cell>
          <cell r="J158" t="str">
            <v xml:space="preserve">Mystic Theurge features:
</v>
          </cell>
          <cell r="K158" t="str">
            <v xml:space="preserve">levels in mystic theurge increase any one arcane class *and* any one divine class;
</v>
          </cell>
          <cell r="AI158" t="str">
            <v xml:space="preserve">
</v>
          </cell>
          <cell r="AJ158">
            <v>0</v>
          </cell>
          <cell r="AP158" t="b">
            <v>0</v>
          </cell>
          <cell r="AQ158" t="b">
            <v>0</v>
          </cell>
          <cell r="AR158" t="b">
            <v>0</v>
          </cell>
          <cell r="AS158" t="b">
            <v>0</v>
          </cell>
          <cell r="BE158" t="b">
            <v>0</v>
          </cell>
          <cell r="BF158" t="b">
            <v>0</v>
          </cell>
          <cell r="BT158" t="b">
            <v>0</v>
          </cell>
          <cell r="BX158" t="b">
            <v>0</v>
          </cell>
          <cell r="CA158" t="b">
            <v>0</v>
          </cell>
        </row>
        <row r="159">
          <cell r="A159" t="str">
            <v>Red Wizard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4</v>
          </cell>
          <cell r="H159">
            <v>2</v>
          </cell>
          <cell r="I159" t="str">
            <v/>
          </cell>
          <cell r="J159" t="str">
            <v xml:space="preserve">Red Wizard features:
</v>
          </cell>
          <cell r="K159" t="str">
            <v xml:space="preserve">enhanced specialization:  red wizard increases his ability with his specialized school.  In exhange for this, he must choose an
    additional prohibited school or schools;
</v>
          </cell>
          <cell r="L159" t="str">
            <v/>
          </cell>
          <cell r="M159" t="str">
            <v/>
          </cell>
          <cell r="N159" t="str">
            <v/>
          </cell>
          <cell r="O159" t="str">
            <v/>
          </cell>
          <cell r="P159" t="str">
            <v/>
          </cell>
          <cell r="Q159" t="str">
            <v/>
          </cell>
          <cell r="AI159" t="str">
            <v xml:space="preserve">
</v>
          </cell>
          <cell r="AJ159">
            <v>0</v>
          </cell>
          <cell r="AN159" t="b">
            <v>0</v>
          </cell>
          <cell r="AP159" t="b">
            <v>0</v>
          </cell>
          <cell r="AQ159" t="b">
            <v>0</v>
          </cell>
          <cell r="AR159" t="b">
            <v>0</v>
          </cell>
          <cell r="BC159" t="b">
            <v>0</v>
          </cell>
          <cell r="BE159" t="b">
            <v>0</v>
          </cell>
          <cell r="BF159" t="b">
            <v>0</v>
          </cell>
          <cell r="BG159" t="b">
            <v>0</v>
          </cell>
          <cell r="BO159" t="b">
            <v>0</v>
          </cell>
          <cell r="BT159" t="b">
            <v>0</v>
          </cell>
          <cell r="CA159" t="b">
            <v>0</v>
          </cell>
        </row>
        <row r="160">
          <cell r="A160" t="str">
            <v>Shadow Dancer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4</v>
          </cell>
          <cell r="H160">
            <v>6</v>
          </cell>
          <cell r="I160" t="str">
            <v/>
          </cell>
          <cell r="J160" t="str">
            <v xml:space="preserve">Shadow Dancer features:
</v>
          </cell>
          <cell r="K160" t="str">
            <v xml:space="preserve">hide in plain sight (su):  can use the hide skill while being observed as long as within 10' of shadow;
</v>
          </cell>
          <cell r="L160" t="str">
            <v/>
          </cell>
          <cell r="M160" t="str">
            <v/>
          </cell>
          <cell r="N160" t="str">
            <v/>
          </cell>
          <cell r="O160" t="str">
            <v/>
          </cell>
          <cell r="P160" t="str">
            <v/>
          </cell>
          <cell r="Q160" t="str">
            <v/>
          </cell>
          <cell r="R160" t="str">
            <v/>
          </cell>
          <cell r="S160" t="str">
            <v/>
          </cell>
          <cell r="T160" t="str">
            <v/>
          </cell>
          <cell r="U160" t="str">
            <v/>
          </cell>
          <cell r="V160" t="str">
            <v/>
          </cell>
          <cell r="AI160" t="str">
            <v xml:space="preserve">
</v>
          </cell>
          <cell r="AM160" t="b">
            <v>0</v>
          </cell>
          <cell r="AN160" t="b">
            <v>0</v>
          </cell>
          <cell r="AS160" t="b">
            <v>0</v>
          </cell>
          <cell r="AT160" t="b">
            <v>0</v>
          </cell>
          <cell r="AV160" t="b">
            <v>0</v>
          </cell>
          <cell r="AW160" t="b">
            <v>0</v>
          </cell>
          <cell r="BB160" t="b">
            <v>0</v>
          </cell>
          <cell r="BD160" t="b">
            <v>0</v>
          </cell>
          <cell r="BP160" t="b">
            <v>0</v>
          </cell>
          <cell r="BQ160" t="b">
            <v>0</v>
          </cell>
          <cell r="BS160" t="b">
            <v>0</v>
          </cell>
          <cell r="BW160" t="b">
            <v>0</v>
          </cell>
          <cell r="BY160" t="b">
            <v>0</v>
          </cell>
          <cell r="CB160" t="b">
            <v>0</v>
          </cell>
          <cell r="CE160" t="b">
            <v>0</v>
          </cell>
          <cell r="CH160" t="b">
            <v>0</v>
          </cell>
        </row>
        <row r="161">
          <cell r="A161" t="str">
            <v>Thaumaturgist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4</v>
          </cell>
          <cell r="H161">
            <v>2</v>
          </cell>
          <cell r="I161" t="str">
            <v/>
          </cell>
          <cell r="J161" t="str">
            <v xml:space="preserve">Thaumaturgist features:
</v>
          </cell>
          <cell r="K161" t="str">
            <v xml:space="preserve">improved ally:  thaumaturgist is adept at convincing creatures from other planes to do his bidding;
</v>
          </cell>
          <cell r="L161" t="str">
            <v/>
          </cell>
          <cell r="M161" t="str">
            <v/>
          </cell>
          <cell r="N161" t="str">
            <v/>
          </cell>
          <cell r="O161" t="str">
            <v/>
          </cell>
          <cell r="AI161" t="str">
            <v xml:space="preserve">
</v>
          </cell>
          <cell r="AJ161">
            <v>0</v>
          </cell>
          <cell r="AP161" t="b">
            <v>0</v>
          </cell>
          <cell r="AQ161" t="b">
            <v>0</v>
          </cell>
          <cell r="AR161" t="b">
            <v>0</v>
          </cell>
          <cell r="AT161" t="b">
            <v>0</v>
          </cell>
          <cell r="BF161" t="b">
            <v>0</v>
          </cell>
          <cell r="BO161" t="b">
            <v>0</v>
          </cell>
          <cell r="BT161" t="b">
            <v>0</v>
          </cell>
          <cell r="BX161" t="b">
            <v>0</v>
          </cell>
          <cell r="BZ161" t="b">
            <v>0</v>
          </cell>
          <cell r="CA161" t="b">
            <v>0</v>
          </cell>
        </row>
        <row r="162">
          <cell r="A162" t="str">
            <v>Bladesinger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8</v>
          </cell>
          <cell r="H162">
            <v>2</v>
          </cell>
          <cell r="I162" t="str">
            <v/>
          </cell>
          <cell r="J162" t="str">
            <v xml:space="preserve">Bladesinger Features:
</v>
          </cell>
          <cell r="K162" t="str">
            <v xml:space="preserve">light armor proficiency;
</v>
          </cell>
          <cell r="L162" t="str">
            <v xml:space="preserve">bladesong style (ex): gain a +0 dodge bonus to AC when wearing light or no armor and wielding a longsword or a rapier in one hand;
</v>
          </cell>
          <cell r="M162" t="str">
            <v/>
          </cell>
          <cell r="N162" t="str">
            <v/>
          </cell>
          <cell r="O162" t="str">
            <v/>
          </cell>
          <cell r="P162" t="str">
            <v/>
          </cell>
          <cell r="AI162" t="str">
            <v xml:space="preserve">
</v>
          </cell>
          <cell r="AJ162">
            <v>0</v>
          </cell>
          <cell r="AM162" t="b">
            <v>0</v>
          </cell>
          <cell r="AP162" t="b">
            <v>0</v>
          </cell>
          <cell r="BD162" t="b">
            <v>0</v>
          </cell>
          <cell r="BE162" t="b">
            <v>0</v>
          </cell>
          <cell r="BS162" t="b">
            <v>0</v>
          </cell>
          <cell r="CA162" t="b">
            <v>0</v>
          </cell>
          <cell r="CE162" t="b">
            <v>0</v>
          </cell>
        </row>
        <row r="163">
          <cell r="A163" t="str">
            <v>Prestige Bard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6</v>
          </cell>
          <cell r="H163">
            <v>6</v>
          </cell>
          <cell r="I163" t="str">
            <v/>
          </cell>
          <cell r="J163" t="str">
            <v xml:space="preserve">Prestige Bard features:
</v>
          </cell>
          <cell r="K163" t="str">
            <v xml:space="preserve">simple and martial weapon proficiency;
</v>
          </cell>
          <cell r="L163" t="str">
            <v xml:space="preserve">light and medium armor and shield proficiency;
</v>
          </cell>
          <cell r="M163" t="str">
            <v xml:space="preserve">Bardic knowledge: learn obscure lore with a successful check (d20+4)
</v>
          </cell>
          <cell r="N163" t="str">
            <v xml:space="preserve">Bardic music: produce any of the following effects up to 0 times/day
</v>
          </cell>
          <cell r="O163" t="str">
            <v/>
          </cell>
          <cell r="P163" t="str">
            <v/>
          </cell>
          <cell r="Q163" t="str">
            <v/>
          </cell>
          <cell r="R163" t="str">
            <v/>
          </cell>
          <cell r="S163" t="str">
            <v/>
          </cell>
          <cell r="T163" t="str">
            <v/>
          </cell>
          <cell r="U163" t="str">
            <v/>
          </cell>
          <cell r="V163" t="str">
            <v/>
          </cell>
          <cell r="X163" t="str">
            <v xml:space="preserve">Alignment must be non-lawful
</v>
          </cell>
          <cell r="AI163" t="str">
            <v xml:space="preserve">
</v>
          </cell>
          <cell r="AJ163">
            <v>0</v>
          </cell>
          <cell r="AK163" t="b">
            <v>0</v>
          </cell>
          <cell r="AM163" t="b">
            <v>0</v>
          </cell>
          <cell r="AN163" t="b">
            <v>0</v>
          </cell>
          <cell r="AO163" t="b">
            <v>0</v>
          </cell>
          <cell r="AP163" t="b">
            <v>0</v>
          </cell>
          <cell r="AQ163" t="b">
            <v>0</v>
          </cell>
          <cell r="AR163" t="b">
            <v>0</v>
          </cell>
          <cell r="AS163" t="b">
            <v>0</v>
          </cell>
          <cell r="AT163" t="b">
            <v>0</v>
          </cell>
          <cell r="AV163" t="b">
            <v>0</v>
          </cell>
          <cell r="AW163" t="b">
            <v>0</v>
          </cell>
          <cell r="AY163" t="b">
            <v>0</v>
          </cell>
          <cell r="BB163" t="b">
            <v>0</v>
          </cell>
          <cell r="BD163" t="b">
            <v>0</v>
          </cell>
          <cell r="BE163" t="b">
            <v>0</v>
          </cell>
          <cell r="BF163" t="b">
            <v>0</v>
          </cell>
          <cell r="BG163" t="b">
            <v>0</v>
          </cell>
          <cell r="BH163" t="b">
            <v>0</v>
          </cell>
          <cell r="BI163" t="b">
            <v>0</v>
          </cell>
          <cell r="BJ163" t="b">
            <v>0</v>
          </cell>
          <cell r="BK163" t="b">
            <v>0</v>
          </cell>
          <cell r="BL163" t="b">
            <v>0</v>
          </cell>
          <cell r="BN163" t="b">
            <v>0</v>
          </cell>
          <cell r="BO163" t="b">
            <v>0</v>
          </cell>
          <cell r="BP163" t="b">
            <v>0</v>
          </cell>
          <cell r="BQ163" t="b">
            <v>0</v>
          </cell>
          <cell r="BS163" t="b">
            <v>0</v>
          </cell>
          <cell r="BT163" t="b">
            <v>0</v>
          </cell>
          <cell r="BX163" t="b">
            <v>0</v>
          </cell>
          <cell r="BY163" t="b">
            <v>0</v>
          </cell>
          <cell r="BZ163" t="b">
            <v>0</v>
          </cell>
          <cell r="CA163" t="b">
            <v>0</v>
          </cell>
          <cell r="CD163" t="b">
            <v>0</v>
          </cell>
          <cell r="CE163" t="b">
            <v>0</v>
          </cell>
          <cell r="CF163" t="b">
            <v>0</v>
          </cell>
        </row>
        <row r="164">
          <cell r="A164" t="str">
            <v>Prestige Paladin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10</v>
          </cell>
          <cell r="H164">
            <v>2</v>
          </cell>
          <cell r="I164" t="str">
            <v/>
          </cell>
          <cell r="J164" t="str">
            <v xml:space="preserve">Prestige Paladin features:
</v>
          </cell>
          <cell r="K164" t="str">
            <v xml:space="preserve">simple and martial weapon proficiency;
</v>
          </cell>
          <cell r="L164" t="str">
            <v xml:space="preserve">detect evil (sp): detect the presence of evil at will;
</v>
          </cell>
          <cell r="M164" t="str">
            <v/>
          </cell>
          <cell r="N164" t="str">
            <v xml:space="preserve">turn/rebuke undead (su): Prestige Paladin Levels stack with cleric levels to determine turning ability;
</v>
          </cell>
          <cell r="O164" t="str">
            <v/>
          </cell>
          <cell r="P164" t="str">
            <v/>
          </cell>
          <cell r="Q164" t="str">
            <v/>
          </cell>
          <cell r="R164" t="str">
            <v/>
          </cell>
          <cell r="S164" t="str">
            <v/>
          </cell>
          <cell r="T164" t="str">
            <v/>
          </cell>
          <cell r="U164" t="str">
            <v xml:space="preserve">alignment must be lawful good;
</v>
          </cell>
          <cell r="AI164" t="str">
            <v xml:space="preserve">
</v>
          </cell>
          <cell r="AJ164">
            <v>0</v>
          </cell>
          <cell r="AP164" t="b">
            <v>0</v>
          </cell>
          <cell r="AQ164" t="b">
            <v>0</v>
          </cell>
          <cell r="AR164" t="b">
            <v>0</v>
          </cell>
          <cell r="AT164" t="b">
            <v>0</v>
          </cell>
          <cell r="AZ164" t="b">
            <v>0</v>
          </cell>
          <cell r="BA164" t="b">
            <v>0</v>
          </cell>
          <cell r="BL164" t="b">
            <v>0</v>
          </cell>
          <cell r="BN164" t="b">
            <v>0</v>
          </cell>
          <cell r="BV164" t="b">
            <v>0</v>
          </cell>
          <cell r="BX164" t="b">
            <v>0</v>
          </cell>
        </row>
        <row r="165">
          <cell r="A165" t="str">
            <v>--Racial Paragon Classes--</v>
          </cell>
        </row>
        <row r="166">
          <cell r="A166" t="str">
            <v>Drow Paragon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6</v>
          </cell>
          <cell r="H166">
            <v>4</v>
          </cell>
          <cell r="I166" t="str">
            <v/>
          </cell>
          <cell r="J166" t="str">
            <v xml:space="preserve">Drow Paragon features:
</v>
          </cell>
          <cell r="K166" t="str">
            <v xml:space="preserve">Improved Spell-Like Ablitities:  (1st)  gains one daily use of each of your spell like abilities;
</v>
          </cell>
          <cell r="L166" t="str">
            <v xml:space="preserve">Improved Darkvision:  (1st)  darkvision range increases by 30' ;
</v>
          </cell>
          <cell r="M166" t="str">
            <v/>
          </cell>
          <cell r="N166" t="str">
            <v/>
          </cell>
          <cell r="AI166" t="str">
            <v xml:space="preserve">
</v>
          </cell>
          <cell r="AO166" t="b">
            <v>0</v>
          </cell>
          <cell r="AQ166" t="b">
            <v>0</v>
          </cell>
          <cell r="AR166" t="b">
            <v>0</v>
          </cell>
          <cell r="BB166" t="b">
            <v>0</v>
          </cell>
          <cell r="BC166" t="b">
            <v>0</v>
          </cell>
          <cell r="BD166" t="b">
            <v>0</v>
          </cell>
          <cell r="BE166" t="b">
            <v>0</v>
          </cell>
          <cell r="BF166" t="b">
            <v>0</v>
          </cell>
          <cell r="BG166" t="b">
            <v>0</v>
          </cell>
          <cell r="BH166" t="b">
            <v>0</v>
          </cell>
          <cell r="BI166" t="b">
            <v>0</v>
          </cell>
          <cell r="BJ166" t="b">
            <v>0</v>
          </cell>
          <cell r="BK166" t="b">
            <v>0</v>
          </cell>
          <cell r="BL166" t="b">
            <v>0</v>
          </cell>
          <cell r="BN166" t="b">
            <v>0</v>
          </cell>
          <cell r="BO166" t="b">
            <v>0</v>
          </cell>
          <cell r="BP166" t="b">
            <v>0</v>
          </cell>
          <cell r="BQ166" t="b">
            <v>0</v>
          </cell>
          <cell r="BT166" t="b">
            <v>0</v>
          </cell>
          <cell r="CA166" t="b">
            <v>0</v>
          </cell>
          <cell r="CB166" t="b">
            <v>0</v>
          </cell>
          <cell r="CC166" t="b">
            <v>0</v>
          </cell>
          <cell r="CD166" t="b">
            <v>0</v>
          </cell>
        </row>
        <row r="167">
          <cell r="A167" t="str">
            <v>Dwarf Paragon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10</v>
          </cell>
          <cell r="H167">
            <v>2</v>
          </cell>
          <cell r="I167" t="str">
            <v/>
          </cell>
          <cell r="J167" t="str">
            <v xml:space="preserve">Dwarf Paragon features:
</v>
          </cell>
          <cell r="K167" t="str">
            <v xml:space="preserve">Craft Expertise:  (1st)  may add +0 racial bonus to craft checks related to stone or metal;
</v>
          </cell>
          <cell r="L167" t="str">
            <v xml:space="preserve">Improved Stonecunning:  (1st)  racial bonus on search checks to notice stonework increases to +4 at a range of 20';
</v>
          </cell>
          <cell r="M167" t="str">
            <v/>
          </cell>
          <cell r="N167" t="str">
            <v/>
          </cell>
          <cell r="O167" t="str">
            <v/>
          </cell>
          <cell r="AI167" t="str">
            <v xml:space="preserve">
</v>
          </cell>
          <cell r="AK167" t="b">
            <v>0</v>
          </cell>
          <cell r="AO167" t="b">
            <v>0</v>
          </cell>
          <cell r="AQ167" t="b">
            <v>0</v>
          </cell>
          <cell r="AR167" t="b">
            <v>0</v>
          </cell>
          <cell r="BC167" t="b">
            <v>0</v>
          </cell>
          <cell r="BD167" t="b">
            <v>0</v>
          </cell>
          <cell r="BG167" t="b">
            <v>0</v>
          </cell>
          <cell r="BT167" t="b">
            <v>0</v>
          </cell>
          <cell r="BX167" t="b">
            <v>0</v>
          </cell>
          <cell r="CC167" t="b">
            <v>0</v>
          </cell>
        </row>
        <row r="168">
          <cell r="A168" t="str">
            <v>Elf Paragon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8</v>
          </cell>
          <cell r="H168">
            <v>2</v>
          </cell>
          <cell r="I168" t="str">
            <v/>
          </cell>
          <cell r="J168" t="str">
            <v xml:space="preserve">Elf Paragon features:
</v>
          </cell>
          <cell r="K168" t="str">
            <v xml:space="preserve">Elfsight:  (1st)  racial bonus to search and spot checks increases to +4, also see three times as far in low-light conditions;
</v>
          </cell>
          <cell r="L168" t="str">
            <v xml:space="preserve">Resist Enchantments:  (1st)  racial bonus vs enchantment spells or effects increases by 2;
</v>
          </cell>
          <cell r="M168" t="str">
            <v/>
          </cell>
          <cell r="N168" t="str">
            <v/>
          </cell>
          <cell r="AI168" t="str">
            <v xml:space="preserve">
</v>
          </cell>
          <cell r="AO168" t="b">
            <v>0</v>
          </cell>
          <cell r="AQ168" t="b">
            <v>0</v>
          </cell>
          <cell r="AR168" t="b">
            <v>0</v>
          </cell>
          <cell r="AT168" t="b">
            <v>0</v>
          </cell>
          <cell r="BB168" t="b">
            <v>0</v>
          </cell>
          <cell r="BD168" t="b">
            <v>0</v>
          </cell>
          <cell r="BE168" t="b">
            <v>0</v>
          </cell>
          <cell r="BF168" t="b">
            <v>0</v>
          </cell>
          <cell r="BG168" t="b">
            <v>0</v>
          </cell>
          <cell r="BH168" t="b">
            <v>0</v>
          </cell>
          <cell r="BI168" t="b">
            <v>0</v>
          </cell>
          <cell r="BJ168" t="b">
            <v>0</v>
          </cell>
          <cell r="BK168" t="b">
            <v>0</v>
          </cell>
          <cell r="BL168" t="b">
            <v>0</v>
          </cell>
          <cell r="BN168" t="b">
            <v>0</v>
          </cell>
          <cell r="BO168" t="b">
            <v>0</v>
          </cell>
          <cell r="BP168" t="b">
            <v>0</v>
          </cell>
          <cell r="BQ168" t="b">
            <v>0</v>
          </cell>
          <cell r="BT168" t="b">
            <v>0</v>
          </cell>
          <cell r="CA168" t="b">
            <v>0</v>
          </cell>
          <cell r="CB168" t="b">
            <v>0</v>
          </cell>
          <cell r="CC168" t="b">
            <v>0</v>
          </cell>
          <cell r="CD168" t="b">
            <v>0</v>
          </cell>
        </row>
        <row r="169">
          <cell r="A169" t="str">
            <v>Gnome Paragon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6</v>
          </cell>
          <cell r="H169">
            <v>4</v>
          </cell>
          <cell r="I169" t="str">
            <v/>
          </cell>
          <cell r="J169" t="str">
            <v xml:space="preserve">Gnome Paragon features:
</v>
          </cell>
          <cell r="K169" t="str">
            <v xml:space="preserve">Illusion Aptitude:  (1st)  may add class levels to caster levels to determine the effect of illusion spells;
</v>
          </cell>
          <cell r="L169" t="str">
            <v xml:space="preserve">Keen Senses:  (1st)  racial bonus to craft(alchemy) and listen checks increases to +2;
</v>
          </cell>
          <cell r="M169" t="str">
            <v/>
          </cell>
          <cell r="N169" t="str">
            <v/>
          </cell>
          <cell r="AI169" t="str">
            <v xml:space="preserve">
</v>
          </cell>
          <cell r="AN169" t="b">
            <v>0</v>
          </cell>
          <cell r="AO169" t="b">
            <v>0</v>
          </cell>
          <cell r="AQ169" t="b">
            <v>0</v>
          </cell>
          <cell r="AR169" t="b">
            <v>0</v>
          </cell>
          <cell r="AT169" t="b">
            <v>0</v>
          </cell>
          <cell r="BB169" t="b">
            <v>0</v>
          </cell>
          <cell r="BD169" t="b">
            <v>0</v>
          </cell>
          <cell r="BE169" t="b">
            <v>0</v>
          </cell>
          <cell r="BF169" t="b">
            <v>0</v>
          </cell>
          <cell r="BG169" t="b">
            <v>0</v>
          </cell>
          <cell r="BH169" t="b">
            <v>0</v>
          </cell>
          <cell r="BI169" t="b">
            <v>0</v>
          </cell>
          <cell r="BJ169" t="b">
            <v>0</v>
          </cell>
          <cell r="BK169" t="b">
            <v>0</v>
          </cell>
          <cell r="BL169" t="b">
            <v>0</v>
          </cell>
          <cell r="BN169" t="b">
            <v>0</v>
          </cell>
          <cell r="BO169" t="b">
            <v>0</v>
          </cell>
          <cell r="BP169" t="b">
            <v>0</v>
          </cell>
          <cell r="BQ169" t="b">
            <v>0</v>
          </cell>
          <cell r="BS169" t="b">
            <v>0</v>
          </cell>
          <cell r="BT169" t="b">
            <v>0</v>
          </cell>
          <cell r="CA169" t="b">
            <v>0</v>
          </cell>
          <cell r="CD169" t="b">
            <v>0</v>
          </cell>
        </row>
        <row r="170">
          <cell r="A170" t="str">
            <v>Half-Elf Paragon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8</v>
          </cell>
          <cell r="H170">
            <v>4</v>
          </cell>
          <cell r="I170" t="str">
            <v/>
          </cell>
          <cell r="J170" t="str">
            <v xml:space="preserve">Half-Elf Paragon features:
</v>
          </cell>
          <cell r="K170" t="str">
            <v xml:space="preserve">Bonus Feat:  (1st)  may take any feat you qualify for;
</v>
          </cell>
          <cell r="L170" t="str">
            <v xml:space="preserve">Divided Ancestry:  (1st)  after taking at least one level in half-elf paragon, may take levels in either half-elf or elf paragon;
</v>
          </cell>
          <cell r="M170" t="str">
            <v xml:space="preserve">Elven Vision:  (1st)  racial bonus to spot and search increases to +2;
</v>
          </cell>
          <cell r="N170" t="str">
            <v/>
          </cell>
          <cell r="O170" t="str">
            <v/>
          </cell>
          <cell r="AI170" t="str">
            <v xml:space="preserve">
</v>
          </cell>
          <cell r="AN170" t="b">
            <v>0</v>
          </cell>
          <cell r="AO170" t="b">
            <v>0</v>
          </cell>
          <cell r="AQ170" t="b">
            <v>0</v>
          </cell>
          <cell r="AR170" t="b">
            <v>0</v>
          </cell>
          <cell r="AT170" t="b">
            <v>0</v>
          </cell>
          <cell r="BB170" t="b">
            <v>0</v>
          </cell>
          <cell r="BD170" t="b">
            <v>0</v>
          </cell>
          <cell r="BP170" t="b">
            <v>0</v>
          </cell>
          <cell r="BQ170" t="b">
            <v>0</v>
          </cell>
          <cell r="BS170" t="b">
            <v>0</v>
          </cell>
          <cell r="BT170" t="b">
            <v>0</v>
          </cell>
          <cell r="CD170" t="b">
            <v>0</v>
          </cell>
        </row>
        <row r="171">
          <cell r="A171" t="str">
            <v>Half-Orc Paragon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8</v>
          </cell>
          <cell r="H171">
            <v>4</v>
          </cell>
          <cell r="I171" t="str">
            <v/>
          </cell>
          <cell r="J171" t="str">
            <v xml:space="preserve">Half-Orc Paragon features:
</v>
          </cell>
          <cell r="K171" t="str">
            <v xml:space="preserve">Divided Ancestry:  (1st)  after taking at least one level in half-orc paragon, may take levels in either half-orc or human paragon;
</v>
          </cell>
          <cell r="L171" t="str">
            <v xml:space="preserve">Monstrous Mein:  (1st)  gain a +4 racial bonus to intimidate checks;
</v>
          </cell>
          <cell r="M171" t="str">
            <v/>
          </cell>
          <cell r="N171" t="str">
            <v/>
          </cell>
          <cell r="AI171" t="str">
            <v xml:space="preserve">
</v>
          </cell>
          <cell r="AO171" t="b">
            <v>0</v>
          </cell>
          <cell r="AQ171" t="b">
            <v>0</v>
          </cell>
          <cell r="AR171" t="b">
            <v>0</v>
          </cell>
          <cell r="AZ171" t="b">
            <v>0</v>
          </cell>
          <cell r="BC171" t="b">
            <v>0</v>
          </cell>
          <cell r="BD171" t="b">
            <v>0</v>
          </cell>
          <cell r="BT171" t="b">
            <v>0</v>
          </cell>
          <cell r="BV171" t="b">
            <v>0</v>
          </cell>
          <cell r="CC171" t="b">
            <v>0</v>
          </cell>
          <cell r="CD171" t="b">
            <v>0</v>
          </cell>
        </row>
        <row r="172">
          <cell r="A172" t="str">
            <v>Halfling Paragon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6</v>
          </cell>
          <cell r="H172">
            <v>4</v>
          </cell>
          <cell r="I172" t="str">
            <v/>
          </cell>
          <cell r="J172" t="str">
            <v xml:space="preserve">Halfling Paragon features:
</v>
          </cell>
          <cell r="K172" t="str">
            <v xml:space="preserve">Athletic Prowess:  (1st)  your racial bonus for Climb, Jump and Move Silently increase to +3;
</v>
          </cell>
          <cell r="L172" t="str">
            <v xml:space="preserve">Save Bonus:  (1st)  your racial saving throw bonus increases to +2;
</v>
          </cell>
          <cell r="M172" t="str">
            <v/>
          </cell>
          <cell r="N172" t="str">
            <v/>
          </cell>
          <cell r="AI172" t="str">
            <v xml:space="preserve">
</v>
          </cell>
          <cell r="AN172" t="b">
            <v>0</v>
          </cell>
          <cell r="AO172" t="b">
            <v>0</v>
          </cell>
          <cell r="AQ172" t="b">
            <v>0</v>
          </cell>
          <cell r="AR172" t="b">
            <v>0</v>
          </cell>
          <cell r="AT172" t="b">
            <v>0</v>
          </cell>
          <cell r="BB172" t="b">
            <v>0</v>
          </cell>
          <cell r="BD172" t="b">
            <v>0</v>
          </cell>
          <cell r="BP172" t="b">
            <v>0</v>
          </cell>
          <cell r="BQ172" t="b">
            <v>0</v>
          </cell>
          <cell r="BS172" t="b">
            <v>0</v>
          </cell>
          <cell r="BT172" t="b">
            <v>0</v>
          </cell>
          <cell r="CC172" t="b">
            <v>0</v>
          </cell>
          <cell r="CD172" t="b">
            <v>0</v>
          </cell>
        </row>
        <row r="173">
          <cell r="A173" t="str">
            <v>Human Paragon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6</v>
          </cell>
          <cell r="H173">
            <v>4</v>
          </cell>
          <cell r="I173" t="str">
            <v/>
          </cell>
          <cell r="J173" t="str">
            <v xml:space="preserve">Human Paragon features:
</v>
          </cell>
          <cell r="K173" t="str">
            <v xml:space="preserve">Adaptive Learning:  (1st)  any one class skill from this class is considered a class skill for any other classes;
</v>
          </cell>
          <cell r="L173" t="str">
            <v/>
          </cell>
          <cell r="M173" t="str">
            <v/>
          </cell>
          <cell r="AI173" t="str">
            <v xml:space="preserve">
</v>
          </cell>
          <cell r="AK173" t="b">
            <v>0</v>
          </cell>
          <cell r="AL173" t="b">
            <v>0</v>
          </cell>
          <cell r="AM173" t="b">
            <v>0</v>
          </cell>
          <cell r="AN173" t="b">
            <v>0</v>
          </cell>
          <cell r="AO173" t="b">
            <v>0</v>
          </cell>
          <cell r="AP173" t="b">
            <v>0</v>
          </cell>
          <cell r="AQ173" t="b">
            <v>0</v>
          </cell>
          <cell r="AR173" t="b">
            <v>0</v>
          </cell>
          <cell r="AS173" t="b">
            <v>0</v>
          </cell>
          <cell r="AT173" t="b">
            <v>0</v>
          </cell>
          <cell r="AU173" t="b">
            <v>0</v>
          </cell>
          <cell r="AV173" t="b">
            <v>0</v>
          </cell>
          <cell r="AW173" t="b">
            <v>0</v>
          </cell>
          <cell r="AX173" t="b">
            <v>0</v>
          </cell>
          <cell r="AY173" t="b">
            <v>0</v>
          </cell>
          <cell r="AZ173" t="b">
            <v>0</v>
          </cell>
          <cell r="BA173" t="b">
            <v>0</v>
          </cell>
          <cell r="BB173" t="b">
            <v>0</v>
          </cell>
          <cell r="BC173" t="b">
            <v>0</v>
          </cell>
          <cell r="BD173" t="b">
            <v>0</v>
          </cell>
          <cell r="BE173" t="b">
            <v>0</v>
          </cell>
          <cell r="BF173" t="b">
            <v>0</v>
          </cell>
          <cell r="BG173" t="b">
            <v>0</v>
          </cell>
          <cell r="BH173" t="b">
            <v>0</v>
          </cell>
          <cell r="BI173" t="b">
            <v>0</v>
          </cell>
          <cell r="BJ173" t="b">
            <v>0</v>
          </cell>
          <cell r="BK173" t="b">
            <v>0</v>
          </cell>
          <cell r="BL173" t="b">
            <v>0</v>
          </cell>
          <cell r="BM173" t="b">
            <v>0</v>
          </cell>
          <cell r="BN173" t="b">
            <v>0</v>
          </cell>
          <cell r="BO173" t="b">
            <v>0</v>
          </cell>
          <cell r="BP173" t="b">
            <v>0</v>
          </cell>
          <cell r="BQ173" t="b">
            <v>0</v>
          </cell>
          <cell r="BR173" t="b">
            <v>0</v>
          </cell>
          <cell r="BS173" t="b">
            <v>0</v>
          </cell>
          <cell r="BT173" t="b">
            <v>0</v>
          </cell>
          <cell r="BU173" t="b">
            <v>0</v>
          </cell>
          <cell r="BV173" t="b">
            <v>0</v>
          </cell>
          <cell r="BW173" t="b">
            <v>0</v>
          </cell>
          <cell r="BX173" t="b">
            <v>0</v>
          </cell>
          <cell r="BY173" t="b">
            <v>0</v>
          </cell>
          <cell r="BZ173" t="b">
            <v>0</v>
          </cell>
          <cell r="CA173" t="b">
            <v>0</v>
          </cell>
          <cell r="CB173" t="b">
            <v>0</v>
          </cell>
          <cell r="CC173" t="b">
            <v>0</v>
          </cell>
          <cell r="CD173" t="b">
            <v>0</v>
          </cell>
          <cell r="CE173" t="b">
            <v>0</v>
          </cell>
          <cell r="CF173" t="b">
            <v>0</v>
          </cell>
          <cell r="CG173" t="b">
            <v>0</v>
          </cell>
          <cell r="CH173" t="b">
            <v>0</v>
          </cell>
        </row>
        <row r="174">
          <cell r="A174" t="str">
            <v>-- Custom Classes --</v>
          </cell>
          <cell r="I174" t="str">
            <v/>
          </cell>
        </row>
        <row r="175">
          <cell r="A175" t="str">
            <v>War Priest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10</v>
          </cell>
          <cell r="H175">
            <v>2</v>
          </cell>
          <cell r="I175" t="str">
            <v/>
          </cell>
          <cell r="J175" t="str">
            <v xml:space="preserve">War Priest features:
</v>
          </cell>
          <cell r="K175" t="str">
            <v xml:space="preserve">simple and martial weapon proficiency;
</v>
          </cell>
          <cell r="L175" t="str">
            <v xml:space="preserve">all armor and shield proficiency;
</v>
          </cell>
          <cell r="M175" t="str">
            <v/>
          </cell>
          <cell r="N175" t="str">
            <v/>
          </cell>
          <cell r="O175" t="str">
            <v/>
          </cell>
          <cell r="P175" t="str">
            <v/>
          </cell>
          <cell r="Q175" t="str">
            <v/>
          </cell>
          <cell r="R175" t="str">
            <v/>
          </cell>
          <cell r="S175" t="str">
            <v/>
          </cell>
          <cell r="T175" t="str">
            <v/>
          </cell>
        </row>
        <row r="176">
          <cell r="A176" t="str">
            <v>-------------</v>
          </cell>
          <cell r="B176" t="str">
            <v>INSERT ROWS FOR ADDITIONAL CLASSES ABOVE THIS ROW</v>
          </cell>
          <cell r="AJ176">
            <v>0</v>
          </cell>
          <cell r="DE176" t="str">
            <v>Defense Bonus</v>
          </cell>
        </row>
        <row r="177">
          <cell r="B177">
            <v>5</v>
          </cell>
          <cell r="C177">
            <v>4</v>
          </cell>
          <cell r="D177">
            <v>4</v>
          </cell>
          <cell r="E177">
            <v>1</v>
          </cell>
          <cell r="I177" t="str">
            <v xml:space="preserve">Rogue Features:
proficient with club, crossbow (hand, heavy or light), dagger, dart, mace (heavy or light), morningstar, quarterstaff, rapier, sap,
    shortbow (normal or composite) and shortsword;
light armor proficiency;
sneak attack: +2d6 damage when </v>
          </cell>
        </row>
        <row r="180">
          <cell r="B180" t="str">
            <v>Lawful Good</v>
          </cell>
          <cell r="F180">
            <v>1</v>
          </cell>
          <cell r="G180" t="str">
            <v>small</v>
          </cell>
          <cell r="H180">
            <v>0</v>
          </cell>
          <cell r="I180">
            <v>0</v>
          </cell>
          <cell r="J180" t="str">
            <v>Abjuration</v>
          </cell>
        </row>
        <row r="181">
          <cell r="B181" t="str">
            <v>Chaotic Good</v>
          </cell>
          <cell r="F181">
            <v>2</v>
          </cell>
          <cell r="G181" t="str">
            <v>medium</v>
          </cell>
          <cell r="H181">
            <v>8</v>
          </cell>
          <cell r="I181">
            <v>0</v>
          </cell>
          <cell r="J181" t="str">
            <v>Conjuration</v>
          </cell>
        </row>
        <row r="182">
          <cell r="B182" t="str">
            <v>Neutral Good</v>
          </cell>
          <cell r="F182">
            <v>3</v>
          </cell>
          <cell r="G182" t="str">
            <v>large</v>
          </cell>
          <cell r="H182">
            <v>9</v>
          </cell>
          <cell r="I182">
            <v>1</v>
          </cell>
          <cell r="J182" t="str">
            <v>Divination</v>
          </cell>
        </row>
        <row r="183">
          <cell r="B183" t="str">
            <v>Lawful Neutral</v>
          </cell>
          <cell r="E183" t="str">
            <v>Right-Handed</v>
          </cell>
          <cell r="H183">
            <v>10</v>
          </cell>
          <cell r="I183">
            <v>2</v>
          </cell>
          <cell r="J183" t="str">
            <v>Enchantment</v>
          </cell>
        </row>
        <row r="184">
          <cell r="B184" t="str">
            <v>Neutral</v>
          </cell>
          <cell r="E184" t="str">
            <v>Left-Handed</v>
          </cell>
          <cell r="H184">
            <v>11</v>
          </cell>
          <cell r="I184">
            <v>3</v>
          </cell>
          <cell r="J184" t="str">
            <v>Evocation</v>
          </cell>
        </row>
        <row r="185">
          <cell r="B185" t="str">
            <v>Chaotic Neutral</v>
          </cell>
          <cell r="H185">
            <v>12</v>
          </cell>
          <cell r="I185">
            <v>4</v>
          </cell>
          <cell r="J185" t="str">
            <v>Illusion</v>
          </cell>
        </row>
        <row r="186">
          <cell r="B186" t="str">
            <v>Neutral Evil</v>
          </cell>
          <cell r="H186">
            <v>13</v>
          </cell>
          <cell r="I186">
            <v>5</v>
          </cell>
          <cell r="J186" t="str">
            <v>Necromancy</v>
          </cell>
        </row>
        <row r="187">
          <cell r="B187" t="str">
            <v>Chaotic Evil</v>
          </cell>
          <cell r="H187">
            <v>14</v>
          </cell>
          <cell r="I187">
            <v>6</v>
          </cell>
          <cell r="J187" t="str">
            <v>Transmutation</v>
          </cell>
        </row>
        <row r="188">
          <cell r="B188" t="str">
            <v>Lawful Evil</v>
          </cell>
          <cell r="H188">
            <v>15</v>
          </cell>
          <cell r="I188">
            <v>8</v>
          </cell>
        </row>
        <row r="189">
          <cell r="H189">
            <v>16</v>
          </cell>
          <cell r="I189">
            <v>10</v>
          </cell>
        </row>
        <row r="190">
          <cell r="H190">
            <v>17</v>
          </cell>
          <cell r="I190">
            <v>13</v>
          </cell>
        </row>
        <row r="191">
          <cell r="H191">
            <v>18</v>
          </cell>
          <cell r="I191">
            <v>16</v>
          </cell>
        </row>
        <row r="201">
          <cell r="B201" t="str">
            <v>Fine</v>
          </cell>
          <cell r="C201" t="str">
            <v>Diminutive</v>
          </cell>
          <cell r="D201" t="str">
            <v>Tiny</v>
          </cell>
          <cell r="E201" t="str">
            <v>Small</v>
          </cell>
          <cell r="F201" t="str">
            <v>Medium</v>
          </cell>
          <cell r="G201" t="str">
            <v>Large</v>
          </cell>
          <cell r="H201" t="str">
            <v>Huge</v>
          </cell>
          <cell r="I201" t="str">
            <v>Gargantuan</v>
          </cell>
          <cell r="J201" t="str">
            <v>Colossal</v>
          </cell>
        </row>
        <row r="202">
          <cell r="B202">
            <v>8</v>
          </cell>
          <cell r="C202">
            <v>4</v>
          </cell>
          <cell r="D202">
            <v>2</v>
          </cell>
          <cell r="E202">
            <v>1</v>
          </cell>
          <cell r="F202">
            <v>0</v>
          </cell>
          <cell r="G202">
            <v>-1</v>
          </cell>
          <cell r="H202">
            <v>-2</v>
          </cell>
          <cell r="I202">
            <v>-4</v>
          </cell>
          <cell r="J202">
            <v>-8</v>
          </cell>
        </row>
        <row r="203">
          <cell r="B203">
            <v>-16</v>
          </cell>
          <cell r="C203">
            <v>-12</v>
          </cell>
          <cell r="D203">
            <v>-8</v>
          </cell>
          <cell r="E203">
            <v>-4</v>
          </cell>
          <cell r="F203">
            <v>0</v>
          </cell>
          <cell r="G203">
            <v>4</v>
          </cell>
          <cell r="H203">
            <v>8</v>
          </cell>
          <cell r="I203">
            <v>12</v>
          </cell>
          <cell r="J203">
            <v>16</v>
          </cell>
        </row>
        <row r="204">
          <cell r="B204">
            <v>0.125</v>
          </cell>
          <cell r="C204">
            <v>0.25</v>
          </cell>
          <cell r="D204">
            <v>0.5</v>
          </cell>
          <cell r="E204">
            <v>0.75</v>
          </cell>
          <cell r="F204">
            <v>1</v>
          </cell>
          <cell r="G204">
            <v>2</v>
          </cell>
          <cell r="H204">
            <v>4</v>
          </cell>
          <cell r="I204">
            <v>8</v>
          </cell>
          <cell r="J204">
            <v>16</v>
          </cell>
        </row>
        <row r="208">
          <cell r="A208" t="str">
            <v>Padded</v>
          </cell>
        </row>
        <row r="209">
          <cell r="A209" t="str">
            <v>Leather</v>
          </cell>
        </row>
        <row r="210">
          <cell r="A210" t="str">
            <v>Studded Leather</v>
          </cell>
        </row>
        <row r="211">
          <cell r="A211" t="str">
            <v>Chain Shirt</v>
          </cell>
        </row>
        <row r="212">
          <cell r="A212" t="str">
            <v>Hide</v>
          </cell>
        </row>
        <row r="213">
          <cell r="A213" t="str">
            <v>Scale mail</v>
          </cell>
        </row>
        <row r="214">
          <cell r="A214" t="str">
            <v>Chainmail</v>
          </cell>
        </row>
        <row r="215">
          <cell r="A215" t="str">
            <v>Breastplate</v>
          </cell>
        </row>
        <row r="216">
          <cell r="A216" t="str">
            <v>Splint mail</v>
          </cell>
        </row>
        <row r="217">
          <cell r="A217" t="str">
            <v>Banded mail</v>
          </cell>
        </row>
        <row r="218">
          <cell r="A218" t="str">
            <v>Half-plate</v>
          </cell>
        </row>
        <row r="219">
          <cell r="A219" t="str">
            <v>Full plate</v>
          </cell>
        </row>
        <row r="220">
          <cell r="A220" t="str">
            <v>Warforged Composite</v>
          </cell>
        </row>
        <row r="221">
          <cell r="A221" t="str">
            <v>Warforged Adamantine</v>
          </cell>
        </row>
        <row r="222">
          <cell r="A222" t="str">
            <v>Warforged Mithril</v>
          </cell>
        </row>
        <row r="403">
          <cell r="B403" t="str">
            <v>Left</v>
          </cell>
          <cell r="C403" t="str">
            <v>Left, two-weapon</v>
          </cell>
          <cell r="D403" t="str">
            <v>Left, double weapon</v>
          </cell>
          <cell r="E403" t="str">
            <v>Right</v>
          </cell>
          <cell r="F403" t="str">
            <v>Right, two-weapon</v>
          </cell>
          <cell r="G403" t="str">
            <v>Right, double weapon</v>
          </cell>
          <cell r="H403" t="str">
            <v>Two-handed</v>
          </cell>
          <cell r="I403" t="str">
            <v>Unarmed</v>
          </cell>
          <cell r="J403" t="str">
            <v>Unarmed, monk</v>
          </cell>
        </row>
        <row r="404">
          <cell r="B404">
            <v>0</v>
          </cell>
          <cell r="C404">
            <v>-10</v>
          </cell>
          <cell r="D404">
            <v>-10</v>
          </cell>
          <cell r="E404">
            <v>0</v>
          </cell>
          <cell r="F404">
            <v>-6</v>
          </cell>
          <cell r="G404">
            <v>-6</v>
          </cell>
          <cell r="H404">
            <v>0</v>
          </cell>
          <cell r="I404">
            <v>0</v>
          </cell>
          <cell r="J404">
            <v>0</v>
          </cell>
        </row>
        <row r="405">
          <cell r="B405">
            <v>0.5</v>
          </cell>
          <cell r="C405">
            <v>0.5</v>
          </cell>
          <cell r="D405">
            <v>0.5</v>
          </cell>
          <cell r="E405">
            <v>1</v>
          </cell>
          <cell r="F405">
            <v>1</v>
          </cell>
          <cell r="G405">
            <v>1</v>
          </cell>
          <cell r="H405">
            <v>1.5</v>
          </cell>
          <cell r="I405">
            <v>1</v>
          </cell>
          <cell r="J405">
            <v>1</v>
          </cell>
        </row>
        <row r="406">
          <cell r="B406" t="str">
            <v>Left</v>
          </cell>
          <cell r="C406" t="str">
            <v>Left</v>
          </cell>
          <cell r="D406" t="str">
            <v>Left</v>
          </cell>
          <cell r="E406" t="str">
            <v>Right</v>
          </cell>
          <cell r="F406" t="str">
            <v>Right</v>
          </cell>
          <cell r="G406" t="str">
            <v>Right</v>
          </cell>
          <cell r="H406" t="str">
            <v>Both</v>
          </cell>
          <cell r="I406" t="str">
            <v>Both</v>
          </cell>
          <cell r="J406" t="str">
            <v>Both</v>
          </cell>
        </row>
        <row r="407">
          <cell r="C407" t="str">
            <v>L</v>
          </cell>
          <cell r="D407" t="str">
            <v>L</v>
          </cell>
          <cell r="F407" t="str">
            <v>R</v>
          </cell>
          <cell r="G407" t="str">
            <v>R</v>
          </cell>
        </row>
        <row r="434">
          <cell r="A434" t="str">
            <v>----[GENERAL]----</v>
          </cell>
        </row>
        <row r="435">
          <cell r="A435" t="str">
            <v>Abberant Dragonmark</v>
          </cell>
          <cell r="B435" t="str">
            <v>you have manifested a dragonmark, even though you are not a member of a recognized family</v>
          </cell>
        </row>
        <row r="436">
          <cell r="A436" t="str">
            <v>Acrobatic</v>
          </cell>
          <cell r="B436" t="str">
            <v>+2 to Jump and Tumble checks</v>
          </cell>
        </row>
        <row r="437">
          <cell r="A437" t="str">
            <v>Action Boost</v>
          </cell>
          <cell r="B437" t="str">
            <v>when spending an action point to alter a roll, roll a d8 instead of a d6</v>
          </cell>
        </row>
        <row r="438">
          <cell r="A438" t="str">
            <v>Action Surge</v>
          </cell>
          <cell r="B438" t="str">
            <v>spend 2 action points to take either an extra move action or standard action</v>
          </cell>
        </row>
        <row r="439">
          <cell r="A439" t="str">
            <v>Agile</v>
          </cell>
          <cell r="B439" t="str">
            <v>+2 to Balance and Escape Artist checks</v>
          </cell>
        </row>
        <row r="440">
          <cell r="A440" t="str">
            <v>Alertness</v>
          </cell>
          <cell r="B440" t="str">
            <v>+2 bonus to Listen and Spot checks</v>
          </cell>
        </row>
        <row r="441">
          <cell r="A441" t="str">
            <v>Animal Affinity</v>
          </cell>
          <cell r="B441" t="str">
            <v>+2 bonus to Handle Animal and Ride checks</v>
          </cell>
        </row>
        <row r="442">
          <cell r="A442" t="str">
            <v>Arcane Disciple</v>
          </cell>
          <cell r="B442" t="str">
            <v>cast spells from a clerical domain as arcane spells</v>
          </cell>
        </row>
        <row r="443">
          <cell r="A443" t="str">
            <v>Arcane Strike</v>
          </cell>
          <cell r="B443" t="str">
            <v>sacrifice spells to add 1d4 points of damage per spell level sacrificed</v>
          </cell>
        </row>
        <row r="444">
          <cell r="A444" t="str">
            <v>Armor Proficiency (heavy)</v>
          </cell>
          <cell r="B444" t="str">
            <v>proficient with all heavy armor</v>
          </cell>
        </row>
        <row r="445">
          <cell r="A445" t="str">
            <v>Armor Proficiency (light)</v>
          </cell>
          <cell r="B445" t="str">
            <v>proficient with all light armor</v>
          </cell>
        </row>
        <row r="446">
          <cell r="A446" t="str">
            <v>Armor Proficiency (medium)</v>
          </cell>
          <cell r="B446" t="str">
            <v>proficient with all medium armor</v>
          </cell>
        </row>
        <row r="447">
          <cell r="A447" t="str">
            <v>Arterial Strike</v>
          </cell>
          <cell r="B447" t="str">
            <v>forgo 1d6 points of sneak attack damage to inflict a bleeding wound</v>
          </cell>
        </row>
        <row r="448">
          <cell r="A448" t="str">
            <v>Ashbound</v>
          </cell>
          <cell r="B448" t="str">
            <v>animals from summon nature's ally spells gain +3 on attack rolls and last twice as long</v>
          </cell>
        </row>
        <row r="449">
          <cell r="A449" t="str">
            <v>Athletic</v>
          </cell>
          <cell r="B449" t="str">
            <v>+2 to Climb and Swim checks</v>
          </cell>
        </row>
        <row r="450">
          <cell r="A450" t="str">
            <v>Augment Healing</v>
          </cell>
          <cell r="B450" t="str">
            <v>add +2 points per level of any Conjuration [healing] spell you cast</v>
          </cell>
        </row>
        <row r="451">
          <cell r="A451" t="str">
            <v>Augment Summoning</v>
          </cell>
          <cell r="B451" t="str">
            <v>summoned creatures gain +4 bonus to str and con for duration of spell</v>
          </cell>
        </row>
        <row r="452">
          <cell r="A452" t="str">
            <v>Axiomatic Strike</v>
          </cell>
          <cell r="B452" t="str">
            <v>expend a use of your stunning fist ability to inflict extra damage against chaotic opponents</v>
          </cell>
        </row>
        <row r="453">
          <cell r="A453" t="str">
            <v>Beast Shape</v>
          </cell>
          <cell r="B453" t="str">
            <v>use your wild shape to assume the form of your beast totem once/day</v>
          </cell>
        </row>
        <row r="454">
          <cell r="A454" t="str">
            <v>Beast Totem</v>
          </cell>
          <cell r="B454" t="str">
            <v>you gain a +4 bonus to saving throws against your totem's attack form</v>
          </cell>
        </row>
        <row r="455">
          <cell r="A455" t="str">
            <v>Blind-Fight</v>
          </cell>
          <cell r="B455" t="str">
            <v>may re-roll miss chance for concealment, invisible foes gain no attack bonus</v>
          </cell>
        </row>
        <row r="456">
          <cell r="A456" t="str">
            <v>Chaotic Mind</v>
          </cell>
          <cell r="B456" t="str">
            <v>negate the insight bonuses of your opponents</v>
          </cell>
        </row>
        <row r="457">
          <cell r="A457" t="str">
            <v>Child of Winter</v>
          </cell>
          <cell r="B457" t="str">
            <v>your spells effect vermin as well as animals</v>
          </cell>
        </row>
        <row r="458">
          <cell r="A458" t="str">
            <v>Cleave</v>
          </cell>
          <cell r="B458" t="str">
            <v>gain one extra attack per round after dropping a foe</v>
          </cell>
        </row>
        <row r="459">
          <cell r="A459" t="str">
            <v>Clever Wrestling</v>
          </cell>
          <cell r="B459" t="str">
            <v>you can escape a big creature's pin or grapple more easily</v>
          </cell>
        </row>
        <row r="460">
          <cell r="A460" t="str">
            <v>Cloak Dance</v>
          </cell>
          <cell r="B460" t="str">
            <v>use a move or full attack action to partially or totally obscure your posistion</v>
          </cell>
        </row>
        <row r="461">
          <cell r="A461" t="str">
            <v>Close-quarters Fighting</v>
          </cell>
          <cell r="B461" t="str">
            <v>you are skilled at resisting grapple attempts</v>
          </cell>
        </row>
        <row r="462">
          <cell r="A462" t="str">
            <v>Closed Mind</v>
          </cell>
          <cell r="B462" t="str">
            <v>+2 bonus on all saving throws to resist powers</v>
          </cell>
        </row>
        <row r="463">
          <cell r="A463" t="str">
            <v>Combat Casting</v>
          </cell>
          <cell r="B463" t="str">
            <v>+4 bonus to Concentration checks to cast spells on the defensive</v>
          </cell>
        </row>
        <row r="464">
          <cell r="A464" t="str">
            <v>Combat Expertise</v>
          </cell>
          <cell r="B464" t="str">
            <v>subtract up to 5 from your attack roll and add the amount to your AC</v>
          </cell>
        </row>
        <row r="465">
          <cell r="A465" t="str">
            <v>Combat Reflexes</v>
          </cell>
          <cell r="B465" t="str">
            <v>4 extra attacks of opportunity per round, including while flat-footed</v>
          </cell>
        </row>
        <row r="466">
          <cell r="A466" t="str">
            <v>Dash</v>
          </cell>
          <cell r="B466" t="str">
            <v>when wearing light or no armor, your speed is 5ft faster</v>
          </cell>
        </row>
        <row r="467">
          <cell r="A467" t="str">
            <v>Deadly Precision</v>
          </cell>
          <cell r="B467" t="str">
            <v>reroll 1s when determining sneak attack damage and accept second roll</v>
          </cell>
        </row>
        <row r="468">
          <cell r="A468" t="str">
            <v>Deceitful</v>
          </cell>
          <cell r="B468" t="str">
            <v>+2 Disguise and Forgery checks</v>
          </cell>
        </row>
        <row r="469">
          <cell r="A469" t="str">
            <v>Defensive Strike</v>
          </cell>
          <cell r="B469" t="str">
            <v>if your opponent misses you while you exercise the total defense action, gain an bonus to attack</v>
          </cell>
        </row>
        <row r="470">
          <cell r="A470" t="str">
            <v>Defensive Throw</v>
          </cell>
          <cell r="B470" t="str">
            <v>if the target of your dodge feat attacks and misses you, you gain a free trip attack against him</v>
          </cell>
        </row>
        <row r="471">
          <cell r="A471" t="str">
            <v>Deflect Arrows</v>
          </cell>
          <cell r="B471" t="str">
            <v>Reflex save to deflect ranged weapon (DC20+weapon's magical attack bonus)</v>
          </cell>
        </row>
        <row r="472">
          <cell r="A472" t="str">
            <v>Deft Hands</v>
          </cell>
          <cell r="B472" t="str">
            <v>+2 Sleight of Hand and Use Rope checks</v>
          </cell>
        </row>
        <row r="473">
          <cell r="A473" t="str">
            <v>Destructive Rage</v>
          </cell>
          <cell r="B473" t="str">
            <v>while raged or frenzied, you gain a +8 to break down doors or destory inanimate objects</v>
          </cell>
        </row>
        <row r="474">
          <cell r="A474" t="str">
            <v>Diehard</v>
          </cell>
          <cell r="B474" t="str">
            <v>take partial actions while hit points are below 0 and auto-stabalization</v>
          </cell>
        </row>
        <row r="475">
          <cell r="A475" t="str">
            <v>Diligent</v>
          </cell>
          <cell r="B475" t="str">
            <v>+2 Appraise and Decipher Script checks</v>
          </cell>
        </row>
        <row r="476">
          <cell r="A476" t="str">
            <v>Dodge</v>
          </cell>
          <cell r="B476" t="str">
            <v>+1 dodge bonus to AC against one opponent</v>
          </cell>
        </row>
        <row r="477">
          <cell r="A477" t="str">
            <v>Domain Focus</v>
          </cell>
          <cell r="B477" t="str">
            <v>spells cast from your domain are at +1 caster level</v>
          </cell>
        </row>
        <row r="478">
          <cell r="A478" t="str">
            <v>Double Steel Strike</v>
          </cell>
          <cell r="B478" t="str">
            <v>you may use two-bladed swords in conjunction with your flurry of blows ability</v>
          </cell>
        </row>
        <row r="479">
          <cell r="A479" t="str">
            <v>Dragon Rage</v>
          </cell>
          <cell r="B479" t="str">
            <v>you gain +2 natural armor and energy resistance 10 while raging</v>
          </cell>
        </row>
        <row r="480">
          <cell r="A480" t="str">
            <v>Dragon Totem</v>
          </cell>
          <cell r="B480" t="str">
            <v>you gain resistance 5 against your totem's favored energy</v>
          </cell>
        </row>
        <row r="481">
          <cell r="A481" t="str">
            <v>Eagle's Claw Attack</v>
          </cell>
          <cell r="B481" t="str">
            <v>add +1 do objects with an unarmed strike</v>
          </cell>
        </row>
        <row r="482">
          <cell r="A482" t="str">
            <v>Earth's Embrace</v>
          </cell>
          <cell r="B482" t="str">
            <v>inflict an extra 1d12 damage during any pins you maintain</v>
          </cell>
        </row>
        <row r="483">
          <cell r="A483" t="str">
            <v>Ecclisiarch</v>
          </cell>
          <cell r="B483" t="str">
            <v>gather information and knowledge local are class skills, and gain +2 leadership score</v>
          </cell>
        </row>
        <row r="484">
          <cell r="A484" t="str">
            <v>Education</v>
          </cell>
          <cell r="B484" t="str">
            <v>all knowledge skills are class skill, and gain a +1 on any two</v>
          </cell>
        </row>
        <row r="485">
          <cell r="A485" t="str">
            <v>Endurance</v>
          </cell>
          <cell r="B485" t="str">
            <v>+4 on saves to avoid effects from exertion</v>
          </cell>
        </row>
        <row r="486">
          <cell r="A486" t="str">
            <v>Eschew Materials</v>
          </cell>
          <cell r="B486" t="str">
            <v>cast spells without material components</v>
          </cell>
        </row>
        <row r="487">
          <cell r="A487" t="str">
            <v>Exotic Weapon Proficiency</v>
          </cell>
          <cell r="B487" t="str">
            <v>proficient in one type of exotic weapon</v>
          </cell>
        </row>
        <row r="488">
          <cell r="A488" t="str">
            <v>Extend Rage</v>
          </cell>
          <cell r="B488" t="str">
            <v>your rage or frenzy lasts 5 rounds longer than usual</v>
          </cell>
        </row>
        <row r="489">
          <cell r="A489" t="str">
            <v>Extra Music</v>
          </cell>
          <cell r="B489" t="str">
            <v>you can use your bardic music four additional times per day</v>
          </cell>
        </row>
        <row r="490">
          <cell r="A490" t="str">
            <v>Extra Rage</v>
          </cell>
          <cell r="B490" t="str">
            <v>you may rage two more times per day than you otherwise could</v>
          </cell>
        </row>
        <row r="491">
          <cell r="A491" t="str">
            <v>Extra Smiting</v>
          </cell>
          <cell r="B491" t="str">
            <v>You may smite two more times per day than you otherwise could</v>
          </cell>
        </row>
        <row r="492">
          <cell r="A492" t="str">
            <v>Extra Stunning</v>
          </cell>
          <cell r="B492" t="str">
            <v>you may use your stunning fist ability three times more per day than you otherwise could</v>
          </cell>
        </row>
        <row r="493">
          <cell r="A493" t="str">
            <v>Extra Turning</v>
          </cell>
          <cell r="B493" t="str">
            <v>turn/rebuke undead 4 more times per day</v>
          </cell>
        </row>
        <row r="494">
          <cell r="A494" t="str">
            <v>Eyes in the Back of Your Head</v>
          </cell>
          <cell r="B494" t="str">
            <v>attackers gain no bonus to strike you while flanking</v>
          </cell>
        </row>
        <row r="495">
          <cell r="A495" t="str">
            <v>Faster Healing</v>
          </cell>
          <cell r="B495" t="str">
            <v>you recover lost hit points and ability score damage faster than normal</v>
          </cell>
        </row>
        <row r="496">
          <cell r="A496" t="str">
            <v>Far Shot</v>
          </cell>
          <cell r="B496" t="str">
            <v>increase a weapon's range increment by 50% (projectile) or 100% (thrown)</v>
          </cell>
        </row>
        <row r="497">
          <cell r="A497" t="str">
            <v>Favored Enemy</v>
          </cell>
          <cell r="B497" t="str">
            <v>+ ______ to bluff, listen, spot, survival and weapon damage rolls</v>
          </cell>
        </row>
        <row r="498">
          <cell r="A498" t="str">
            <v>Favored in House</v>
          </cell>
          <cell r="B498" t="str">
            <v>you can call in favors from your family and their contacts</v>
          </cell>
        </row>
        <row r="499">
          <cell r="A499" t="str">
            <v>Favored Power Attack</v>
          </cell>
          <cell r="B499" t="str">
            <v>you inflict more damage when using the power attack feat against your favored enemy</v>
          </cell>
        </row>
        <row r="500">
          <cell r="A500" t="str">
            <v>Fists of Iron</v>
          </cell>
          <cell r="B500" t="str">
            <v>expend a use of your stunning fist ability to inflict 1d6 extra damage</v>
          </cell>
        </row>
        <row r="501">
          <cell r="A501" t="str">
            <v>Fleet of Foot</v>
          </cell>
          <cell r="B501" t="str">
            <v>you may make a single change of direction when running or charging</v>
          </cell>
        </row>
        <row r="502">
          <cell r="A502" t="str">
            <v>Flensing Strike</v>
          </cell>
          <cell r="B502" t="str">
            <v>as a full round action, enemies hit save DC 13.5 or be racked with pain</v>
          </cell>
        </row>
        <row r="503">
          <cell r="A503" t="str">
            <v>Flick of the Wrist</v>
          </cell>
          <cell r="B503" t="str">
            <v>if you draw a light weapon and attack with it, you catch your opponent flat footed</v>
          </cell>
        </row>
        <row r="504">
          <cell r="A504" t="str">
            <v>Flying Kick</v>
          </cell>
          <cell r="B504" t="str">
            <v>when charging unarmed, you inflict an extra 1d12 damage</v>
          </cell>
        </row>
        <row r="505">
          <cell r="A505" t="str">
            <v>Force of Will</v>
          </cell>
          <cell r="B505" t="str">
            <v>make a will save in lieu of a fort or reflex save vs a power</v>
          </cell>
        </row>
        <row r="506">
          <cell r="A506" t="str">
            <v>Freezing the Lifeblood</v>
          </cell>
          <cell r="B506" t="str">
            <v>unarmed attacks paralyze your opponents for 1d4+1 rounds (Fort DC 13)</v>
          </cell>
        </row>
        <row r="507">
          <cell r="A507" t="str">
            <v>Gatekeeper Initiate</v>
          </cell>
          <cell r="B507" t="str">
            <v>trained in the ancient druidic tradition founded to ward of aberrations</v>
          </cell>
        </row>
        <row r="508">
          <cell r="A508" t="str">
            <v>Great Cleave</v>
          </cell>
          <cell r="B508" t="str">
            <v>gain an extra attack after dropping an opponent without limit</v>
          </cell>
        </row>
        <row r="509">
          <cell r="A509" t="str">
            <v>Great Fortitude</v>
          </cell>
          <cell r="B509" t="str">
            <v>+2 to all Fortitude saving throws</v>
          </cell>
        </row>
        <row r="510">
          <cell r="A510" t="str">
            <v>Greater Dragonmark</v>
          </cell>
          <cell r="B510" t="str">
            <v>you gain a greater dragonmark and spell-like abilities related to it</v>
          </cell>
        </row>
        <row r="511">
          <cell r="A511" t="str">
            <v>Greater Kiai Shout</v>
          </cell>
          <cell r="B511" t="str">
            <v>kiai shout panicks opponents for 2d6 rounds (Will DC 12)</v>
          </cell>
        </row>
        <row r="512">
          <cell r="A512" t="str">
            <v>Greater Manyshot</v>
          </cell>
          <cell r="B512" t="str">
            <v>use manyshot to fire at different targets simultaneously</v>
          </cell>
        </row>
        <row r="513">
          <cell r="A513" t="str">
            <v>Greater Powerful Charge</v>
          </cell>
          <cell r="B513" t="str">
            <v>you are treated as one size larger than you are when using powerful charge</v>
          </cell>
        </row>
        <row r="514">
          <cell r="A514" t="str">
            <v>Greater Resiliency</v>
          </cell>
          <cell r="B514" t="str">
            <v>damage reductuion increases by 1/-</v>
          </cell>
        </row>
        <row r="515">
          <cell r="A515" t="str">
            <v>Greater Spell Focus</v>
          </cell>
          <cell r="B515" t="str">
            <v>+1 to DC for saving throws against spells from one school of magic</v>
          </cell>
        </row>
        <row r="516">
          <cell r="A516" t="str">
            <v>Greater Spell Penetration</v>
          </cell>
          <cell r="B516" t="str">
            <v>+2 bonus to caster level checks against spell resistance</v>
          </cell>
        </row>
        <row r="517">
          <cell r="A517" t="str">
            <v>Greater Two-Weapon Defense</v>
          </cell>
          <cell r="B517" t="str">
            <v>+3 AC when fighting with two weapons or a double weapon</v>
          </cell>
        </row>
        <row r="518">
          <cell r="A518" t="str">
            <v>Greater Two-Weapon Fighting</v>
          </cell>
          <cell r="B518" t="str">
            <v>gain a third attack with an offhand weapon at -10</v>
          </cell>
        </row>
        <row r="519">
          <cell r="A519" t="str">
            <v>Greensinger Initiate</v>
          </cell>
          <cell r="B519" t="str">
            <v>bluff, hide, and perform are class skills, add gain addition druid spells</v>
          </cell>
        </row>
        <row r="520">
          <cell r="A520" t="str">
            <v>Hamstring</v>
          </cell>
          <cell r="B520" t="str">
            <v>forgo 2d6 points of sneak attack damage to half an opponent's speed</v>
          </cell>
        </row>
        <row r="521">
          <cell r="A521" t="str">
            <v>Haunting Melody</v>
          </cell>
          <cell r="B521" t="str">
            <v>unnerve enemies with your music, Will DC 10 or become shaken for 0 rounds</v>
          </cell>
        </row>
        <row r="522">
          <cell r="A522" t="str">
            <v>Heroic Spirit</v>
          </cell>
          <cell r="B522" t="str">
            <v>gain 3 additional action points per level</v>
          </cell>
        </row>
        <row r="523">
          <cell r="A523" t="str">
            <v>Hold the Line</v>
          </cell>
          <cell r="B523" t="str">
            <v>make an attack of oppurtunity against an opponent who enters your threatened area</v>
          </cell>
        </row>
        <row r="524">
          <cell r="A524" t="str">
            <v>Honor-bound</v>
          </cell>
          <cell r="B524" t="str">
            <v>+2 bonus to any saving throw whose failure would result in breaking a promise, oath or duty</v>
          </cell>
        </row>
        <row r="525">
          <cell r="A525" t="str">
            <v>Hostile Mind</v>
          </cell>
          <cell r="B525" t="str">
            <v>use of telepath on you requires a save, failure inflicts 2d6 damage on the caster</v>
          </cell>
        </row>
        <row r="526">
          <cell r="A526" t="str">
            <v>Improved Buckler Defense</v>
          </cell>
          <cell r="B526" t="str">
            <v>when you attack with an offhand weapon, you retain your bucklers AC bonus</v>
          </cell>
        </row>
        <row r="527">
          <cell r="A527" t="str">
            <v>Improved Bull Rush</v>
          </cell>
          <cell r="B527" t="str">
            <v>perform a bull rush with a +4 bonus and it does not provoke</v>
          </cell>
        </row>
        <row r="528">
          <cell r="A528" t="str">
            <v>Improved Combat Expertise</v>
          </cell>
          <cell r="B528" t="str">
            <v>subtract a number (not to exceed your BAB) from your attack roll and add the amount to your AC</v>
          </cell>
        </row>
        <row r="529">
          <cell r="A529" t="str">
            <v>Improved Counterspell</v>
          </cell>
          <cell r="B529" t="str">
            <v>may use a spell of same school that is one or more levels higher than target spell to counterspell.</v>
          </cell>
        </row>
        <row r="530">
          <cell r="A530" t="str">
            <v>Improved Critical</v>
          </cell>
          <cell r="B530" t="str">
            <v>doubles critical threat range of one weapon type</v>
          </cell>
        </row>
        <row r="531">
          <cell r="A531" t="str">
            <v>Improved Disarm</v>
          </cell>
          <cell r="B531" t="str">
            <v>disarm with a +4 bonus and it does not provoke or open up for counter-disarm</v>
          </cell>
        </row>
        <row r="532">
          <cell r="A532" t="str">
            <v>Improved Familiar</v>
          </cell>
          <cell r="B532" t="str">
            <v>you may acquire a new familiar</v>
          </cell>
        </row>
        <row r="533">
          <cell r="A533" t="str">
            <v>Improved Favored Enemy</v>
          </cell>
          <cell r="B533" t="str">
            <v>deal an extra 3 points of damage against your favored enemies</v>
          </cell>
        </row>
        <row r="534">
          <cell r="A534" t="str">
            <v>Improved Feint</v>
          </cell>
          <cell r="B534" t="str">
            <v>you may make a bluff check in combat as a move action</v>
          </cell>
        </row>
        <row r="535">
          <cell r="A535" t="str">
            <v>Improved Grapple</v>
          </cell>
          <cell r="B535" t="str">
            <v>+4 on grapple checks and your grapple attempts do not provoke</v>
          </cell>
        </row>
        <row r="536">
          <cell r="A536" t="str">
            <v>Improved Initiative</v>
          </cell>
          <cell r="B536" t="str">
            <v>+4 to Initiative checks</v>
          </cell>
        </row>
        <row r="537">
          <cell r="A537" t="str">
            <v>Improved Mounted Archery</v>
          </cell>
          <cell r="B537" t="str">
            <v>negates and reduces penalties for using ranged weapons while mounted</v>
          </cell>
        </row>
        <row r="538">
          <cell r="A538" t="str">
            <v>Improved Natural Attack</v>
          </cell>
          <cell r="B538" t="str">
            <v>improves damage dice by one step of any one natural weapon</v>
          </cell>
        </row>
        <row r="539">
          <cell r="A539" t="str">
            <v>Improved Overrun</v>
          </cell>
          <cell r="B539" t="str">
            <v>overrun with a +4 bonus and targets cannot avoid being overrun</v>
          </cell>
        </row>
        <row r="540">
          <cell r="A540" t="str">
            <v>Improved Precise Shot</v>
          </cell>
          <cell r="B540" t="str">
            <v>ignore ac bonus of anything less than full cover and miss chance of anything less than full concealment</v>
          </cell>
        </row>
        <row r="541">
          <cell r="A541" t="str">
            <v>Improved Rapid Shot</v>
          </cell>
          <cell r="B541" t="str">
            <v>ignore -2 penalty while using rapid shot feat</v>
          </cell>
        </row>
        <row r="542">
          <cell r="A542" t="str">
            <v>Improved Shield Bash</v>
          </cell>
          <cell r="B542" t="str">
            <v>when you bash with your shield, you retain its AC bonus</v>
          </cell>
        </row>
        <row r="543">
          <cell r="A543" t="str">
            <v>Improved Smiting</v>
          </cell>
          <cell r="B543" t="str">
            <v>deal an extra 1d6 damage with a smite attack</v>
          </cell>
        </row>
        <row r="544">
          <cell r="A544" t="str">
            <v>Improved Sunder</v>
          </cell>
          <cell r="B544" t="str">
            <v>+4 to attack objects held by another character, and your sunder attempts do not provoke</v>
          </cell>
        </row>
        <row r="545">
          <cell r="A545" t="str">
            <v>Improved Toughness</v>
          </cell>
          <cell r="B545" t="str">
            <v>+1 hp per level</v>
          </cell>
        </row>
        <row r="546">
          <cell r="A546" t="str">
            <v>Improved Trip</v>
          </cell>
          <cell r="B546" t="str">
            <v>gain +4 bonus and one extra attack after tripping an opponent</v>
          </cell>
        </row>
        <row r="547">
          <cell r="A547" t="str">
            <v>Improved Turning</v>
          </cell>
          <cell r="B547" t="str">
            <v>turn or rebuke creatures as if you were one level higher</v>
          </cell>
        </row>
        <row r="548">
          <cell r="A548" t="str">
            <v>Improved Two-Weapon Defense</v>
          </cell>
          <cell r="B548" t="str">
            <v>+2 AC when fighting with two weapons or a double weapon</v>
          </cell>
        </row>
        <row r="549">
          <cell r="A549" t="str">
            <v>Improved Two-Weapon Fighting</v>
          </cell>
          <cell r="B549" t="str">
            <v>gain one additional attack per round with off-hand weapon at a -5 penalty</v>
          </cell>
        </row>
        <row r="550">
          <cell r="A550" t="str">
            <v>Improved Unarmed Strike</v>
          </cell>
          <cell r="B550" t="str">
            <v>attacking unarmed does not provoke attacks of opportunity</v>
          </cell>
        </row>
        <row r="551">
          <cell r="A551" t="str">
            <v>Improved Weapon Familiarity</v>
          </cell>
          <cell r="B551" t="str">
            <v>all exotic weapons associated with your race are considered martial weapons</v>
          </cell>
        </row>
        <row r="552">
          <cell r="A552" t="str">
            <v>Instantaneous Rage</v>
          </cell>
          <cell r="B552" t="str">
            <v>your rage beings whenever you wish</v>
          </cell>
        </row>
        <row r="553">
          <cell r="A553" t="str">
            <v>Intimidating Rage</v>
          </cell>
          <cell r="B553" t="str">
            <v>you may demoralize a single opponent within 30' while raging</v>
          </cell>
        </row>
        <row r="554">
          <cell r="A554" t="str">
            <v>Investigate</v>
          </cell>
          <cell r="B554" t="str">
            <v>use your search skill to analyze clues at the scene of a crime or mystery</v>
          </cell>
        </row>
        <row r="555">
          <cell r="A555" t="str">
            <v>Investigator</v>
          </cell>
          <cell r="B555" t="str">
            <v>+2 on Gather Information and Search checks</v>
          </cell>
        </row>
        <row r="556">
          <cell r="A556" t="str">
            <v>Iron Will</v>
          </cell>
          <cell r="B556" t="str">
            <v>+2 to all Will saving throws</v>
          </cell>
        </row>
        <row r="557">
          <cell r="A557" t="str">
            <v>Karmic Strike</v>
          </cell>
          <cell r="B557" t="str">
            <v>sacrifce -4 to your AC to make an attack of oppurtunity to anyone who strikes you</v>
          </cell>
        </row>
        <row r="558">
          <cell r="A558" t="str">
            <v>Kiai Shout</v>
          </cell>
          <cell r="B558" t="str">
            <v>any opponent with 30' who can hear you is shaken for 1d6 rounds (Will DC 12)</v>
          </cell>
        </row>
        <row r="559">
          <cell r="A559" t="str">
            <v>Knight Training</v>
          </cell>
          <cell r="B559" t="str">
            <v>you may multiclass one class of your choice with paladin</v>
          </cell>
        </row>
        <row r="560">
          <cell r="A560" t="str">
            <v>Leadership</v>
          </cell>
          <cell r="B560" t="str">
            <v>may attract loyal companions and followers</v>
          </cell>
        </row>
        <row r="561">
          <cell r="A561" t="str">
            <v>Least Dragonmark</v>
          </cell>
          <cell r="B561" t="str">
            <v>you gain a least dragonmark and spell-like abilities related to it</v>
          </cell>
        </row>
        <row r="562">
          <cell r="A562" t="str">
            <v>Lesser Dragonmark</v>
          </cell>
          <cell r="B562" t="str">
            <v>you gain a lesser dragonmark and spell-like abilities related to it</v>
          </cell>
        </row>
        <row r="563">
          <cell r="A563" t="str">
            <v>Lightning Reflexes</v>
          </cell>
          <cell r="B563" t="str">
            <v>+2 to all Reflex saving throws</v>
          </cell>
        </row>
        <row r="564">
          <cell r="A564" t="str">
            <v>Magical Aptitude</v>
          </cell>
          <cell r="B564" t="str">
            <v>+2 on Spellcraft and Use Magic Device checks</v>
          </cell>
        </row>
        <row r="565">
          <cell r="A565" t="str">
            <v>Manyshot</v>
          </cell>
          <cell r="B565" t="str">
            <v>fire extra arrows as a standard action with a cumulative -2 penalty</v>
          </cell>
        </row>
        <row r="566">
          <cell r="A566" t="str">
            <v>Martial Weapon Proficiency</v>
          </cell>
          <cell r="B566" t="str">
            <v>proficient in one type of martial weapon</v>
          </cell>
        </row>
        <row r="567">
          <cell r="A567" t="str">
            <v>Mental Resistance</v>
          </cell>
          <cell r="B567" t="str">
            <v>you gain DR 3/-- against powers that do not employ energy</v>
          </cell>
        </row>
        <row r="568">
          <cell r="A568" t="str">
            <v>Mind Over Body</v>
          </cell>
          <cell r="B568" t="str">
            <v>heal ability damage and burn faster than normal</v>
          </cell>
        </row>
        <row r="569">
          <cell r="A569" t="str">
            <v>Mobility</v>
          </cell>
          <cell r="B569" t="str">
            <v>gain a +4 dodge bonus to AC against attacks of opportunity when moving</v>
          </cell>
        </row>
        <row r="570">
          <cell r="A570" t="str">
            <v>Monastic Training</v>
          </cell>
          <cell r="B570" t="str">
            <v>you may multiclass one class of your choice with monk</v>
          </cell>
        </row>
        <row r="571">
          <cell r="A571" t="str">
            <v>Monkey Grip</v>
          </cell>
          <cell r="B571" t="str">
            <v>wield larger weapons with a -2 penalty</v>
          </cell>
        </row>
        <row r="572">
          <cell r="A572" t="str">
            <v>Mounted Archery</v>
          </cell>
          <cell r="B572" t="str">
            <v>the penalty for using a ranged weapon on horseback is halved</v>
          </cell>
        </row>
        <row r="573">
          <cell r="A573" t="str">
            <v>Mounted Combat</v>
          </cell>
          <cell r="B573" t="str">
            <v>avoid a hit to your mount with a Ride check once per round</v>
          </cell>
        </row>
        <row r="574">
          <cell r="A574" t="str">
            <v>Music of Growth</v>
          </cell>
          <cell r="B574" t="str">
            <v>animals and plants gain +4 str and con while you sing</v>
          </cell>
        </row>
        <row r="575">
          <cell r="A575" t="str">
            <v>Music of Making</v>
          </cell>
          <cell r="B575" t="str">
            <v>singing extends the duration of conjuration spells</v>
          </cell>
        </row>
        <row r="576">
          <cell r="A576" t="str">
            <v>Natural Spell</v>
          </cell>
          <cell r="B576" t="str">
            <v>cast spells while in Wild Shape</v>
          </cell>
        </row>
        <row r="577">
          <cell r="A577" t="str">
            <v>Negotiator</v>
          </cell>
          <cell r="B577" t="str">
            <v>+2 on Diplomacy and Sense Motive checks</v>
          </cell>
        </row>
        <row r="578">
          <cell r="A578" t="str">
            <v>Nimble Fingers</v>
          </cell>
          <cell r="B578" t="str">
            <v>+2 on Disable Device and Open Lock checks</v>
          </cell>
        </row>
        <row r="579">
          <cell r="A579" t="str">
            <v>Open Minded</v>
          </cell>
          <cell r="B579" t="str">
            <v>gain 5 skill points</v>
          </cell>
        </row>
        <row r="580">
          <cell r="A580" t="str">
            <v>Pain Touch</v>
          </cell>
          <cell r="B580" t="str">
            <v>victims of stunning attacks are nauseated for 1 round following being stunned</v>
          </cell>
        </row>
        <row r="581">
          <cell r="A581" t="str">
            <v>Persuasive</v>
          </cell>
          <cell r="B581" t="str">
            <v>+2 to Bluff and Intimidate checks</v>
          </cell>
        </row>
        <row r="582">
          <cell r="A582" t="str">
            <v>Phalanx Fighting</v>
          </cell>
          <cell r="B582" t="str">
            <v>gain bonuses for using light weapons with a shield and allies with the same feat</v>
          </cell>
        </row>
        <row r="583">
          <cell r="A583" t="str">
            <v>Pin Shield</v>
          </cell>
          <cell r="B583" t="str">
            <v>forgo your off-hand attacks to pin your opponent's shield</v>
          </cell>
        </row>
        <row r="584">
          <cell r="A584" t="str">
            <v>Point Blank Shot</v>
          </cell>
          <cell r="B584" t="str">
            <v>+1 attack and damage bonus with ranged weapons against targets within 30'</v>
          </cell>
        </row>
        <row r="585">
          <cell r="A585" t="str">
            <v>Power Attack</v>
          </cell>
          <cell r="B585" t="str">
            <v>subtract up to your base attack from your attack roll and add the amount to damage</v>
          </cell>
        </row>
        <row r="586">
          <cell r="A586" t="str">
            <v>Power Critical</v>
          </cell>
          <cell r="B586" t="str">
            <v>gain a +4 to critical confirmation rolls with a specific weapon</v>
          </cell>
        </row>
        <row r="587">
          <cell r="A587" t="str">
            <v>Powerful Charge</v>
          </cell>
          <cell r="B587" t="str">
            <v>when you charge you inflict additional damage based on size</v>
          </cell>
        </row>
        <row r="588">
          <cell r="A588" t="str">
            <v>Practiced Spellcaster</v>
          </cell>
          <cell r="B588" t="str">
            <v>your caster level increases by +4, but cannot exceed your HD</v>
          </cell>
        </row>
        <row r="589">
          <cell r="A589" t="str">
            <v>Precise Shot</v>
          </cell>
          <cell r="B589" t="str">
            <v>target creatures in melee with a ranged weapon without penalty</v>
          </cell>
        </row>
        <row r="590">
          <cell r="A590" t="str">
            <v>Precise Swing</v>
          </cell>
          <cell r="B590" t="str">
            <v>you ignore effects of cover while using a melee weapon</v>
          </cell>
        </row>
        <row r="591">
          <cell r="A591" t="str">
            <v>Prone Attack</v>
          </cell>
          <cell r="B591" t="str">
            <v>attack from prone with no penalty, if successful you stand up without provoking</v>
          </cell>
        </row>
        <row r="592">
          <cell r="A592" t="str">
            <v>Psionic Affinity</v>
          </cell>
          <cell r="B592" t="str">
            <v>+2 bonus on Psicraft and Use Psionic Device checks</v>
          </cell>
        </row>
        <row r="593">
          <cell r="A593" t="str">
            <v>Psionic Hole</v>
          </cell>
          <cell r="B593" t="str">
            <v>opponents that strike you lose their psionic focus</v>
          </cell>
        </row>
        <row r="594">
          <cell r="A594" t="str">
            <v>Pursue</v>
          </cell>
          <cell r="B594" t="str">
            <v>spend an action point to follow a opponent making a 5' step</v>
          </cell>
        </row>
        <row r="595">
          <cell r="A595" t="str">
            <v>Quick Draw</v>
          </cell>
          <cell r="B595" t="str">
            <v>draw weapons as a free action</v>
          </cell>
        </row>
        <row r="596">
          <cell r="A596" t="str">
            <v>Quicken Turning</v>
          </cell>
          <cell r="B596" t="str">
            <v>turn or rebuke undead as a free action</v>
          </cell>
        </row>
        <row r="597">
          <cell r="A597" t="str">
            <v>Raging Luck</v>
          </cell>
          <cell r="B597" t="str">
            <v>you gain 1 action point while raging</v>
          </cell>
        </row>
        <row r="598">
          <cell r="A598" t="str">
            <v>Ranged Disarm</v>
          </cell>
          <cell r="B598" t="str">
            <v>you may make ranged disarm attempts withim 30' with a weapon of your choice</v>
          </cell>
        </row>
        <row r="599">
          <cell r="A599" t="str">
            <v>Ranged Pin</v>
          </cell>
          <cell r="B599" t="str">
            <v>you may make ranged grapple checks against opponents within 5' of a surface</v>
          </cell>
        </row>
        <row r="600">
          <cell r="A600" t="str">
            <v>Ranged Sunder</v>
          </cell>
          <cell r="B600" t="str">
            <v>you deal more damage to objects with a ranged weapon</v>
          </cell>
        </row>
        <row r="601">
          <cell r="A601" t="str">
            <v>Rapid Metabolism</v>
          </cell>
          <cell r="B601" t="str">
            <v>heal hit points faster than normal</v>
          </cell>
        </row>
        <row r="602">
          <cell r="A602" t="str">
            <v>Rapid Reload</v>
          </cell>
          <cell r="B602" t="str">
            <v>reload hand/light crossbows as free actions or heavy crossbows as move-equivalent actions</v>
          </cell>
        </row>
        <row r="603">
          <cell r="A603" t="str">
            <v>Rapid Stunning</v>
          </cell>
          <cell r="B603" t="str">
            <v>you may use one additional stunning attack per round</v>
          </cell>
        </row>
        <row r="604">
          <cell r="A604" t="str">
            <v>Rapid Shot</v>
          </cell>
          <cell r="B604" t="str">
            <v>gain one extra attack per round with a ranged weapon, all attacks at -2 that round</v>
          </cell>
        </row>
        <row r="605">
          <cell r="A605" t="str">
            <v>Reckless Offense</v>
          </cell>
          <cell r="B605" t="str">
            <v>take a -4 penalty to your AC and add +2 to your attack roll</v>
          </cell>
        </row>
        <row r="606">
          <cell r="A606" t="str">
            <v>Recognize Imposter</v>
          </cell>
          <cell r="B606" t="str">
            <v>gain a +4 on spot and sense motive checks when you oppose a disguise or bluff</v>
          </cell>
        </row>
        <row r="607">
          <cell r="A607" t="str">
            <v>Repel Aberration</v>
          </cell>
          <cell r="B607" t="str">
            <v>ward off aberrations as a cleric of your level does undead</v>
          </cell>
        </row>
        <row r="608">
          <cell r="A608" t="str">
            <v>Research</v>
          </cell>
          <cell r="B608" t="str">
            <v>use your knowledge skills to extract information from books and scrolls</v>
          </cell>
        </row>
        <row r="609">
          <cell r="A609" t="str">
            <v>Ride-By Attack</v>
          </cell>
          <cell r="B609" t="str">
            <v>gain an extra move after making a charge while mounted</v>
          </cell>
        </row>
        <row r="610">
          <cell r="A610" t="str">
            <v>Right of Counsel</v>
          </cell>
          <cell r="B610" t="str">
            <v>you may enter the City of the Dead and beseech advice from your ancestors</v>
          </cell>
        </row>
        <row r="611">
          <cell r="A611" t="str">
            <v>Roundabout Kick</v>
          </cell>
          <cell r="B611" t="str">
            <v>after a critical unarmed hit, you may make an additional attack against the same opponent</v>
          </cell>
        </row>
        <row r="612">
          <cell r="A612" t="str">
            <v>Run</v>
          </cell>
          <cell r="B612" t="str">
            <v>running speed is 5x normal speed</v>
          </cell>
        </row>
        <row r="613">
          <cell r="A613" t="str">
            <v>Self-Sufficient</v>
          </cell>
          <cell r="B613" t="str">
            <v>+2 on Heal and Survival checks</v>
          </cell>
        </row>
        <row r="614">
          <cell r="A614" t="str">
            <v>Serpent Strike</v>
          </cell>
          <cell r="B614" t="str">
            <v>you may use longspears in conjunction with your flurry of blows ability</v>
          </cell>
        </row>
        <row r="615">
          <cell r="A615" t="str">
            <v>Sharp Shooting</v>
          </cell>
          <cell r="B615" t="str">
            <v>targets receive only +2 AC due to cover</v>
          </cell>
        </row>
        <row r="616">
          <cell r="A616" t="str">
            <v>Shield Charge</v>
          </cell>
          <cell r="B616" t="str">
            <v>gain a trip attack against an opponent you successfully hit with a shield charge</v>
          </cell>
        </row>
        <row r="617">
          <cell r="A617" t="str">
            <v>Shield Proficiency</v>
          </cell>
          <cell r="B617" t="str">
            <v>proficient with all shields</v>
          </cell>
        </row>
        <row r="618">
          <cell r="A618" t="str">
            <v>Shield Slam</v>
          </cell>
          <cell r="B618" t="str">
            <v>attack an opponent with your shield and daze them for one round (Fort DC 15)</v>
          </cell>
        </row>
        <row r="619">
          <cell r="A619" t="str">
            <v>Shot on the Run</v>
          </cell>
          <cell r="B619" t="str">
            <v>may move before and after attacking with a ranged weapon</v>
          </cell>
        </row>
        <row r="620">
          <cell r="A620" t="str">
            <v>Silver Smite</v>
          </cell>
          <cell r="B620" t="str">
            <v>inflict an addition 1d6 points of damage when smiting evil</v>
          </cell>
        </row>
        <row r="621">
          <cell r="A621" t="str">
            <v>Simple Weapon Proficiency</v>
          </cell>
          <cell r="B621" t="str">
            <v>proficient with all simple weapons</v>
          </cell>
        </row>
        <row r="622">
          <cell r="A622" t="str">
            <v>Skill Focus</v>
          </cell>
          <cell r="B622" t="str">
            <v>+3 bonus to all checks with one skill</v>
          </cell>
        </row>
        <row r="623">
          <cell r="A623" t="str">
            <v>Snatch Arrows</v>
          </cell>
          <cell r="B623" t="str">
            <v>grab all ranged weapons and return thrown weapons</v>
          </cell>
        </row>
        <row r="624">
          <cell r="A624" t="str">
            <v>Song of the Heart</v>
          </cell>
          <cell r="B624" t="str">
            <v>bonuses granted by inspiring greatness or heroics increases by 1</v>
          </cell>
        </row>
        <row r="625">
          <cell r="A625" t="str">
            <v>Soothe the Beast</v>
          </cell>
          <cell r="B625" t="str">
            <v>you may improve the attitude of animals with a perform check</v>
          </cell>
        </row>
        <row r="626">
          <cell r="A626" t="str">
            <v>Spell Focus</v>
          </cell>
          <cell r="B626" t="str">
            <v>+1 to DC for saving throws against spells from one school of magic</v>
          </cell>
        </row>
        <row r="627">
          <cell r="A627" t="str">
            <v>Spell Focus (Chaos,Evil,Good,Law)</v>
          </cell>
          <cell r="B627" t="str">
            <v>+1 to DC for saving throws against spells with chosen descriptor</v>
          </cell>
        </row>
        <row r="628">
          <cell r="A628" t="str">
            <v>Spell Penetration</v>
          </cell>
          <cell r="B628" t="str">
            <v>+2 bonus to caster level checks against spell resistance</v>
          </cell>
        </row>
        <row r="629">
          <cell r="A629" t="str">
            <v>Spirited Charge</v>
          </cell>
          <cell r="B629" t="str">
            <v>inflict double damage from a charge while mounted (triple with a lance)</v>
          </cell>
        </row>
        <row r="630">
          <cell r="A630" t="str">
            <v>Spontaneous Casting</v>
          </cell>
          <cell r="B630" t="str">
            <v>exchange a spell you have prepared for another spell you know for 2 action points</v>
          </cell>
        </row>
        <row r="631">
          <cell r="A631" t="str">
            <v>Spontaneous Healer</v>
          </cell>
          <cell r="B631" t="str">
            <v>you may spontaneously cast cure spells as a good cleric</v>
          </cell>
        </row>
        <row r="632">
          <cell r="A632" t="str">
            <v>Spontaneous Summoner</v>
          </cell>
          <cell r="B632" t="str">
            <v>you may spontaneously cast summon nature's ally spells just as a druid</v>
          </cell>
        </row>
        <row r="633">
          <cell r="A633" t="str">
            <v>Spontaneous Wounder</v>
          </cell>
          <cell r="B633" t="str">
            <v>you may spontaneously cast inflict spells just as an evil cleric</v>
          </cell>
        </row>
        <row r="634">
          <cell r="A634" t="str">
            <v>Spring Attack</v>
          </cell>
          <cell r="B634" t="str">
            <v>move before and after making an attack with a melee weapon</v>
          </cell>
        </row>
        <row r="635">
          <cell r="A635" t="str">
            <v>Stand Still</v>
          </cell>
          <cell r="B635" t="str">
            <v>prevent opponent from fleeing</v>
          </cell>
        </row>
        <row r="636">
          <cell r="A636" t="str">
            <v>Stealthy</v>
          </cell>
          <cell r="B636" t="str">
            <v>+2 on Hide and Move Silently checks</v>
          </cell>
        </row>
        <row r="637">
          <cell r="A637" t="str">
            <v>Strong Mind</v>
          </cell>
          <cell r="B637" t="str">
            <v>gain a +3 on saving throws vs psionic and mind attacks</v>
          </cell>
        </row>
        <row r="638">
          <cell r="A638" t="str">
            <v>Stunning Fist</v>
          </cell>
          <cell r="B638" t="str">
            <v>stun opponents with a successful unarmed strike (DC13) 1 times/day</v>
          </cell>
        </row>
        <row r="639">
          <cell r="A639" t="str">
            <v>Swarm Fighting</v>
          </cell>
          <cell r="B639" t="str">
            <v>small opponents gain a bonuses for attacking en masse</v>
          </cell>
        </row>
        <row r="640">
          <cell r="A640" t="str">
            <v>Throw Anything</v>
          </cell>
          <cell r="B640" t="str">
            <v>melee weapons become ranged weapons with 10' increments in your hands</v>
          </cell>
        </row>
        <row r="641">
          <cell r="A641" t="str">
            <v>Totem Companion</v>
          </cell>
          <cell r="B641" t="str">
            <v>you may choose your totem beast as an animal companion</v>
          </cell>
        </row>
        <row r="642">
          <cell r="A642" t="str">
            <v>Toughness</v>
          </cell>
          <cell r="B642" t="str">
            <v>gain +3 hit points</v>
          </cell>
        </row>
        <row r="643">
          <cell r="A643" t="str">
            <v>Tower Shield Proficiency</v>
          </cell>
          <cell r="B643" t="str">
            <v>proficient with tower shields</v>
          </cell>
        </row>
        <row r="644">
          <cell r="A644" t="str">
            <v>Track</v>
          </cell>
          <cell r="B644" t="str">
            <v>follow trails of creatures and characters</v>
          </cell>
        </row>
        <row r="645">
          <cell r="A645" t="str">
            <v>Trample</v>
          </cell>
          <cell r="B645" t="str">
            <v>attempts to overrun opponents while mounted cannot be avoided</v>
          </cell>
        </row>
        <row r="646">
          <cell r="A646" t="str">
            <v>True Believer</v>
          </cell>
          <cell r="B646" t="str">
            <v>once per day declare a +2 bonus to any saving throw, also enables use of relics</v>
          </cell>
        </row>
        <row r="647">
          <cell r="A647" t="str">
            <v>Two-Weapon Defense</v>
          </cell>
          <cell r="B647" t="str">
            <v>+1 AC when fighting with two weapons or a double weapon</v>
          </cell>
        </row>
        <row r="648">
          <cell r="A648" t="str">
            <v>Two-Weapon Fighting</v>
          </cell>
          <cell r="B648" t="str">
            <v>penalties for fighting with two weapons is reduced</v>
          </cell>
        </row>
        <row r="649">
          <cell r="A649" t="str">
            <v>Undead Empathy</v>
          </cell>
          <cell r="B649" t="str">
            <v>gain a +4 bonus to diplomacy checks against undead</v>
          </cell>
        </row>
        <row r="650">
          <cell r="A650" t="str">
            <v>Urban Tracking</v>
          </cell>
          <cell r="B650" t="str">
            <v>use gather information to track in an urban setting</v>
          </cell>
        </row>
        <row r="651">
          <cell r="A651" t="str">
            <v>Vermin Companion</v>
          </cell>
          <cell r="B651" t="str">
            <v>you may choose vermin as an animal companion</v>
          </cell>
        </row>
        <row r="652">
          <cell r="A652" t="str">
            <v>Vermin Shape</v>
          </cell>
          <cell r="B652" t="str">
            <v>use your wild shape to assume the form of vermin</v>
          </cell>
        </row>
        <row r="653">
          <cell r="A653" t="str">
            <v>Wand Mastery</v>
          </cell>
          <cell r="B653" t="str">
            <v>when you use a wand, the save DC and caster level are increased by 2</v>
          </cell>
        </row>
        <row r="654">
          <cell r="A654" t="str">
            <v>Warden Initiate</v>
          </cell>
          <cell r="B654" t="str">
            <v>you have been trained in druidic tradition of warden of the wood</v>
          </cell>
        </row>
        <row r="655">
          <cell r="A655" t="str">
            <v>Weakening Touch</v>
          </cell>
          <cell r="B655" t="str">
            <v>expend a stunning attack use to apply a -6 to your opponent's strength for 1 minute</v>
          </cell>
        </row>
        <row r="656">
          <cell r="A656" t="str">
            <v>Weapon Finesse</v>
          </cell>
          <cell r="B656" t="str">
            <v>may use Dex modifier instead of Str modifier to attack rolls with light weapons</v>
          </cell>
        </row>
        <row r="657">
          <cell r="A657" t="str">
            <v>Weapon Focus</v>
          </cell>
          <cell r="B657" t="str">
            <v>+1 to attack rolls with one weapon type</v>
          </cell>
        </row>
        <row r="658">
          <cell r="A658" t="str">
            <v>Whirling Steel Strike</v>
          </cell>
          <cell r="B658" t="str">
            <v>you may use longswords in conjunction with your flurry of blows ability</v>
          </cell>
        </row>
        <row r="659">
          <cell r="A659" t="str">
            <v>Whirlwind Attack</v>
          </cell>
          <cell r="B659" t="str">
            <v>attack all opponents within reach as a full round action</v>
          </cell>
        </row>
        <row r="660">
          <cell r="A660" t="str">
            <v>Widen Spell</v>
          </cell>
          <cell r="B660" t="str">
            <v>increase the area of a burst, emanation or spread effect spell by 50%</v>
          </cell>
        </row>
        <row r="661">
          <cell r="A661" t="str">
            <v>Wild Empathy</v>
          </cell>
          <cell r="B661" t="str">
            <v>improve reaction of animals with a d20+0 check</v>
          </cell>
        </row>
        <row r="662">
          <cell r="A662" t="str">
            <v>Wild Talent</v>
          </cell>
          <cell r="B662" t="str">
            <v>you gain 2 PPs and can take psionic and metapsionic feats</v>
          </cell>
        </row>
        <row r="663">
          <cell r="A663" t="str">
            <v>Zen Archery</v>
          </cell>
          <cell r="B663" t="str">
            <v>use your wisdom modifer to ranged attacks instead of dexterity</v>
          </cell>
        </row>
        <row r="664">
          <cell r="A664" t="str">
            <v>----[WARFORGED]----</v>
          </cell>
        </row>
        <row r="665">
          <cell r="A665" t="str">
            <v>Adamantine Body</v>
          </cell>
          <cell r="B665" t="str">
            <v>you were forged from adamantine for greater resilience</v>
          </cell>
        </row>
        <row r="666">
          <cell r="A666" t="str">
            <v>Improved Damage Reduction</v>
          </cell>
          <cell r="B666" t="str">
            <v>you gain DR 1/adamantine or increase your existing DR by 1</v>
          </cell>
        </row>
        <row r="667">
          <cell r="A667" t="str">
            <v>Improved Fortification</v>
          </cell>
          <cell r="B667" t="str">
            <v>you are immune to critical hits and sneak attacks, but cannot be healed by cure spells</v>
          </cell>
        </row>
        <row r="668">
          <cell r="A668" t="str">
            <v>Mithril Body</v>
          </cell>
          <cell r="B668" t="str">
            <v>you were forged from mithril for greater mobility</v>
          </cell>
        </row>
        <row r="669">
          <cell r="A669" t="str">
            <v>Mithril Fluidity</v>
          </cell>
          <cell r="B669" t="str">
            <v>your armor check penalty and maximum dexterity modifer improve by 1</v>
          </cell>
        </row>
        <row r="670">
          <cell r="A670" t="str">
            <v>----[SHIFTER]----</v>
          </cell>
        </row>
        <row r="671">
          <cell r="A671" t="str">
            <v>Beasthide Elite</v>
          </cell>
          <cell r="B671" t="str">
            <v>your natural armor bonus increases to +2 while shifting</v>
          </cell>
        </row>
        <row r="672">
          <cell r="A672" t="str">
            <v>Cliffwalk Elite</v>
          </cell>
          <cell r="B672" t="str">
            <v>your climb speed increases by 10' while shifting</v>
          </cell>
        </row>
        <row r="673">
          <cell r="A673" t="str">
            <v>Great Bite</v>
          </cell>
          <cell r="B673" t="str">
            <v>you fangs have a critical hit modifier of x3</v>
          </cell>
        </row>
        <row r="674">
          <cell r="A674" t="str">
            <v>Great Rend</v>
          </cell>
          <cell r="B674" t="str">
            <v>if you hit with both of your claw attacks in a single round, deal 1d4+1 additional damage</v>
          </cell>
        </row>
        <row r="675">
          <cell r="A675" t="str">
            <v>Greater Shifter Defense</v>
          </cell>
          <cell r="B675" t="str">
            <v>your DR improves to DR 4/silver while shifting</v>
          </cell>
        </row>
        <row r="676">
          <cell r="A676" t="str">
            <v>Healing Factor</v>
          </cell>
          <cell r="B676" t="str">
            <v>you heal 5 hps when you stop shifting</v>
          </cell>
        </row>
        <row r="677">
          <cell r="A677" t="str">
            <v>Longstrider Elite</v>
          </cell>
          <cell r="B677" t="str">
            <v>your base speed increases by +10' while shifting</v>
          </cell>
        </row>
        <row r="678">
          <cell r="A678" t="str">
            <v>Shifter Defense</v>
          </cell>
          <cell r="B678" t="str">
            <v>you gain DR 2/silver while shifting</v>
          </cell>
        </row>
        <row r="679">
          <cell r="A679" t="str">
            <v>Shifter Ferocity</v>
          </cell>
          <cell r="B679" t="str">
            <v>you may fight while dying or disabled without penalty</v>
          </cell>
        </row>
        <row r="680">
          <cell r="A680" t="str">
            <v>Shifter Multiattack</v>
          </cell>
          <cell r="B680" t="str">
            <v>your secondary attacks suffer only a -2 penalty</v>
          </cell>
        </row>
        <row r="681">
          <cell r="A681" t="str">
            <v>----[PSIONIC]----</v>
          </cell>
        </row>
        <row r="682">
          <cell r="A682" t="str">
            <v>Aligned Attack</v>
          </cell>
          <cell r="B682" t="str">
            <v>expend your psionic focus to align your weapon</v>
          </cell>
        </row>
        <row r="683">
          <cell r="A683" t="str">
            <v>Antipsionic Magic</v>
          </cell>
          <cell r="B683" t="str">
            <v>you gain a +2 on checks to overcome power resistance</v>
          </cell>
        </row>
        <row r="684">
          <cell r="A684" t="str">
            <v>Autonomous</v>
          </cell>
          <cell r="B684" t="str">
            <v>+2 on Autohypnosis and Knowledge (psionics) checks</v>
          </cell>
        </row>
        <row r="685">
          <cell r="A685" t="str">
            <v>Body Feul</v>
          </cell>
          <cell r="B685" t="str">
            <v>gain 2 power points for every 1 point of ability score damage</v>
          </cell>
        </row>
        <row r="686">
          <cell r="A686" t="str">
            <v>Boost Construct</v>
          </cell>
          <cell r="B686" t="str">
            <v>when creating astral constructs, they gain one special ability</v>
          </cell>
        </row>
        <row r="687">
          <cell r="A687" t="str">
            <v>Combat Manifestation</v>
          </cell>
          <cell r="B687" t="str">
            <v>+4 bonus to Concentration checks to manifest defensively</v>
          </cell>
        </row>
        <row r="688">
          <cell r="A688" t="str">
            <v>Deep Impact</v>
          </cell>
          <cell r="B688" t="str">
            <v>expend your psionic focus to treat your melee attack as a touch attack</v>
          </cell>
        </row>
        <row r="689">
          <cell r="A689" t="str">
            <v>Expanded Knowledge</v>
          </cell>
          <cell r="B689" t="str">
            <v>gain additional powers</v>
          </cell>
        </row>
        <row r="690">
          <cell r="A690" t="str">
            <v>Fell Shot</v>
          </cell>
          <cell r="B690" t="str">
            <v>expend your psionic focus to treat your ranged attack as a touch attack</v>
          </cell>
        </row>
        <row r="691">
          <cell r="A691" t="str">
            <v>Focused Sunder</v>
          </cell>
          <cell r="B691" t="str">
            <v>expend your psionic focus to ignore half of your sunder target's hardness</v>
          </cell>
        </row>
        <row r="692">
          <cell r="A692" t="str">
            <v>Ghost Attack</v>
          </cell>
          <cell r="B692" t="str">
            <v>accept the better of two rolls when checking for incorporeal miss chance</v>
          </cell>
        </row>
        <row r="693">
          <cell r="A693" t="str">
            <v>Greater Power Penetration</v>
          </cell>
          <cell r="B693" t="str">
            <v>expend your psionic focus to gain a +4 bonus to overcome power resistance</v>
          </cell>
        </row>
        <row r="694">
          <cell r="A694" t="str">
            <v>Greater Power Specialization</v>
          </cell>
          <cell r="B694" t="str">
            <v>deal 2 additional points of damage with damaging powers</v>
          </cell>
        </row>
        <row r="695">
          <cell r="A695" t="str">
            <v>Greater Psionic Endowment</v>
          </cell>
          <cell r="B695" t="str">
            <v>add +2 to the DC of a power you manifest instead of +2</v>
          </cell>
        </row>
        <row r="696">
          <cell r="A696" t="str">
            <v>Greater Psionic Fist</v>
          </cell>
          <cell r="B696" t="str">
            <v>deal 4d6 additional damage with the Psionic Fist feat instead of 2d6</v>
          </cell>
        </row>
        <row r="697">
          <cell r="A697" t="str">
            <v>Greater Psionic Shot</v>
          </cell>
          <cell r="B697" t="str">
            <v>deal 4d6 additional damage with the Psionic Shot feat instead of 2d6</v>
          </cell>
        </row>
        <row r="698">
          <cell r="A698" t="str">
            <v>Greater Psionic Weapon</v>
          </cell>
          <cell r="B698" t="str">
            <v>deal 4d6 additional damage with the Psionic Weapon feat instead of 2d6</v>
          </cell>
        </row>
        <row r="699">
          <cell r="A699" t="str">
            <v>Improved Psicrystal</v>
          </cell>
          <cell r="B699" t="str">
            <v>implant another personality in your psicrystal</v>
          </cell>
        </row>
        <row r="700">
          <cell r="A700" t="str">
            <v>Inquisitor</v>
          </cell>
          <cell r="B700" t="str">
            <v>expend your psionic focus to gain a +10 on a sense motive check</v>
          </cell>
        </row>
        <row r="701">
          <cell r="A701" t="str">
            <v>Mental Leap</v>
          </cell>
          <cell r="B701" t="str">
            <v>expend your psionic focus to gain a +10 on a jump check</v>
          </cell>
        </row>
        <row r="702">
          <cell r="A702" t="str">
            <v>Metamorphic Transfer</v>
          </cell>
          <cell r="B702" t="str">
            <v>you gain a supernatural ability of a form you change into</v>
          </cell>
        </row>
        <row r="703">
          <cell r="A703" t="str">
            <v>Narrow Mind</v>
          </cell>
          <cell r="B703" t="str">
            <v>+4 bonus to Concentration checks to gain psionic focus</v>
          </cell>
        </row>
        <row r="704">
          <cell r="A704" t="str">
            <v>Overchannel</v>
          </cell>
          <cell r="B704" t="str">
            <v>increase your manifester level and take damage</v>
          </cell>
        </row>
        <row r="705">
          <cell r="A705" t="str">
            <v>Power Penetration</v>
          </cell>
          <cell r="B705" t="str">
            <v>expend your psionic focus to gain a +4 bonus to overcome power resistance</v>
          </cell>
        </row>
        <row r="706">
          <cell r="A706" t="str">
            <v>Power Specialization</v>
          </cell>
          <cell r="B706" t="str">
            <v>rays and ranged touch attacks deal 2 additional points of damage</v>
          </cell>
        </row>
        <row r="707">
          <cell r="A707" t="str">
            <v>Psicrystal Affinity</v>
          </cell>
          <cell r="B707" t="str">
            <v>create a psicrystal</v>
          </cell>
        </row>
        <row r="708">
          <cell r="A708" t="str">
            <v>Psicrystal Containment</v>
          </cell>
          <cell r="B708" t="str">
            <v>psionically focus your psicrystal for later use</v>
          </cell>
        </row>
        <row r="709">
          <cell r="A709" t="str">
            <v>Psionic Body</v>
          </cell>
          <cell r="B709" t="str">
            <v>gain 2 hit points for every psionic feat you take</v>
          </cell>
        </row>
        <row r="710">
          <cell r="A710" t="str">
            <v>Psionic Charge</v>
          </cell>
          <cell r="B710" t="str">
            <v>expend your psionic focus to make a turn up to 90 degrees while charging</v>
          </cell>
        </row>
        <row r="711">
          <cell r="A711" t="str">
            <v>Psionic Dodge</v>
          </cell>
          <cell r="B711" t="str">
            <v>gain a +1 dodge bonus to your AC</v>
          </cell>
        </row>
        <row r="712">
          <cell r="A712" t="str">
            <v>Psionic Endowment</v>
          </cell>
          <cell r="B712" t="str">
            <v>expend your psionic focus to add 1 to the save DC of a power</v>
          </cell>
        </row>
        <row r="713">
          <cell r="A713" t="str">
            <v>Psionic Fist</v>
          </cell>
          <cell r="B713" t="str">
            <v>expend your psionic focus to add 2d6 damage to an unarmed attack</v>
          </cell>
        </row>
        <row r="714">
          <cell r="A714" t="str">
            <v>Psionic Meditation</v>
          </cell>
          <cell r="B714" t="str">
            <v>gain psionic focus as a move action</v>
          </cell>
        </row>
        <row r="715">
          <cell r="A715" t="str">
            <v>Psionic Shot</v>
          </cell>
          <cell r="B715" t="str">
            <v>expend your psionic focus to add 2d6 damage to a ranged attack</v>
          </cell>
        </row>
        <row r="716">
          <cell r="A716" t="str">
            <v>Psionic Talent</v>
          </cell>
          <cell r="B716" t="str">
            <v>gain additional power points</v>
          </cell>
        </row>
        <row r="717">
          <cell r="A717" t="str">
            <v>Psionic Weapon</v>
          </cell>
          <cell r="B717" t="str">
            <v>expend your psionic focus to add 2d6 damage to a melee attack</v>
          </cell>
        </row>
        <row r="718">
          <cell r="A718" t="str">
            <v>Return Shot</v>
          </cell>
          <cell r="B718" t="str">
            <v>expend your psionic focus to deflect a ranged attack</v>
          </cell>
        </row>
        <row r="719">
          <cell r="A719" t="str">
            <v>Sidestep Charge</v>
          </cell>
          <cell r="B719" t="str">
            <v>gain a +4 bonus to AC vs charge attacks</v>
          </cell>
        </row>
        <row r="720">
          <cell r="A720" t="str">
            <v>Speed of Thought</v>
          </cell>
          <cell r="B720" t="str">
            <v>gain a +10' speed if focused and not wearing heavy armor</v>
          </cell>
        </row>
        <row r="721">
          <cell r="A721" t="str">
            <v>Talented</v>
          </cell>
          <cell r="B721" t="str">
            <v>expend your psionic focus to prevent damage from overchanneling</v>
          </cell>
        </row>
        <row r="722">
          <cell r="A722" t="str">
            <v>Unavoidable Strike</v>
          </cell>
          <cell r="B722" t="str">
            <v>expend your psionic focus to treat an unarmed or natural attack as a touch</v>
          </cell>
        </row>
        <row r="723">
          <cell r="A723" t="str">
            <v>Up the Walls</v>
          </cell>
          <cell r="B723" t="str">
            <v>move up walls as part of your move action</v>
          </cell>
        </row>
        <row r="724">
          <cell r="A724" t="str">
            <v>Wounding Attack</v>
          </cell>
          <cell r="B724" t="str">
            <v>expend your psionic focus to deal 1 point of con damage</v>
          </cell>
        </row>
        <row r="725">
          <cell r="A725" t="str">
            <v>----[DIVINE]----</v>
          </cell>
        </row>
        <row r="726">
          <cell r="A726" t="str">
            <v>Disciple of the Sun</v>
          </cell>
          <cell r="B726" t="str">
            <v>spend two turn attempts to inflict double turning damage</v>
          </cell>
        </row>
        <row r="727">
          <cell r="A727" t="str">
            <v>Divine Cleansing</v>
          </cell>
          <cell r="B727" t="str">
            <v>spend a turn attempt to grant all allies a +2 bonus on Fort saves</v>
          </cell>
        </row>
        <row r="728">
          <cell r="A728" t="str">
            <v>Divine Metamagic</v>
          </cell>
          <cell r="B728" t="str">
            <v>spend turn attempts to fuel metamagic feats</v>
          </cell>
        </row>
        <row r="729">
          <cell r="A729" t="str">
            <v>Divine Might</v>
          </cell>
          <cell r="B729" t="str">
            <v>spend a turn attempt to add +0 to weapon damage for a full round</v>
          </cell>
        </row>
        <row r="730">
          <cell r="A730" t="str">
            <v>Divine Resistance</v>
          </cell>
          <cell r="B730" t="str">
            <v>spend a turn attempt to grant allies cold, electricity and fire resistance 5</v>
          </cell>
        </row>
        <row r="731">
          <cell r="A731" t="str">
            <v>Divine Shield</v>
          </cell>
          <cell r="B731" t="str">
            <v>spend a turn attempt to add a +0 bonus to its AC</v>
          </cell>
        </row>
        <row r="732">
          <cell r="A732" t="str">
            <v>Divine Spell Power</v>
          </cell>
          <cell r="B732" t="str">
            <v>spend a turn attempt and add your turn result to your caster level</v>
          </cell>
        </row>
        <row r="733">
          <cell r="A733" t="str">
            <v>Divine Vigor</v>
          </cell>
          <cell r="B733" t="str">
            <v>spend a turn attempt to increase your base speed and add 5 temporary hps</v>
          </cell>
        </row>
        <row r="734">
          <cell r="A734" t="str">
            <v>Domain Spontaneity</v>
          </cell>
          <cell r="B734" t="str">
            <v>spontaneously cast spells from a single domain you have access to</v>
          </cell>
        </row>
        <row r="735">
          <cell r="A735" t="str">
            <v>Elemental Healing</v>
          </cell>
          <cell r="B735" t="str">
            <v>spend a turn attempt to heal elementals of 1d8 damage per two cleric levels</v>
          </cell>
        </row>
        <row r="736">
          <cell r="A736" t="str">
            <v>Elemental Smiting</v>
          </cell>
          <cell r="B736" t="str">
            <v>spend a turn attempt to add +0 damage with melee atacks against elementals</v>
          </cell>
        </row>
        <row r="737">
          <cell r="A737" t="str">
            <v>Empower Turning</v>
          </cell>
          <cell r="B737" t="str">
            <v>multiply your turning damage by 150%</v>
          </cell>
        </row>
        <row r="738">
          <cell r="A738" t="str">
            <v>Glorious Weapon</v>
          </cell>
          <cell r="B738" t="str">
            <v>spend a turn attempt to align the weapons of your allies</v>
          </cell>
        </row>
        <row r="739">
          <cell r="A739" t="str">
            <v>Profane Boost</v>
          </cell>
          <cell r="B739" t="str">
            <v>spend a rebuke attempt to maximize all inflict spells cast</v>
          </cell>
        </row>
        <row r="740">
          <cell r="A740" t="str">
            <v>Sacred Boost</v>
          </cell>
          <cell r="B740" t="str">
            <v>spend a turn attempt to maximize all healing spells cast</v>
          </cell>
        </row>
        <row r="741">
          <cell r="A741" t="str">
            <v>Sacred Healing</v>
          </cell>
          <cell r="B741" t="str">
            <v>spend a turn attempt to grant fast healing 3 to all allies within 60'</v>
          </cell>
        </row>
        <row r="742">
          <cell r="A742" t="str">
            <v>Sacred Vengeance</v>
          </cell>
          <cell r="B742" t="str">
            <v>spend a turn attempt to add 2d6 damage to attacks against undead for one round</v>
          </cell>
        </row>
        <row r="743">
          <cell r="A743" t="str">
            <v>----[METAMAGIC]----</v>
          </cell>
        </row>
        <row r="744">
          <cell r="A744" t="str">
            <v>Consecrate Spell</v>
          </cell>
          <cell r="B744" t="str">
            <v>adds the good descriptor and divine damage to a spell</v>
          </cell>
        </row>
        <row r="745">
          <cell r="A745" t="str">
            <v>Corrupt Spell</v>
          </cell>
          <cell r="B745" t="str">
            <v>adds the evil descriptor and divine damage to a spell</v>
          </cell>
        </row>
        <row r="746">
          <cell r="A746" t="str">
            <v>Empower Spell</v>
          </cell>
          <cell r="B746" t="str">
            <v>increase a spell's variable effect by 50%</v>
          </cell>
        </row>
        <row r="747">
          <cell r="A747" t="str">
            <v>Enlarge Spell</v>
          </cell>
          <cell r="B747" t="str">
            <v>double a spell's range</v>
          </cell>
        </row>
        <row r="748">
          <cell r="A748" t="str">
            <v>Extend Spell</v>
          </cell>
          <cell r="B748" t="str">
            <v>double a spell's duration</v>
          </cell>
        </row>
        <row r="749">
          <cell r="A749" t="str">
            <v>Heighten Spell</v>
          </cell>
          <cell r="B749" t="str">
            <v>cast a spell as though it were a higher level</v>
          </cell>
        </row>
        <row r="750">
          <cell r="A750" t="str">
            <v>Maximize Spell</v>
          </cell>
          <cell r="B750" t="str">
            <v>cast a spell at maximum effect</v>
          </cell>
        </row>
        <row r="751">
          <cell r="A751" t="str">
            <v>Quicken Spell</v>
          </cell>
          <cell r="B751" t="str">
            <v>cast a spell as a free action</v>
          </cell>
        </row>
        <row r="752">
          <cell r="A752" t="str">
            <v>Rapid Spell</v>
          </cell>
          <cell r="B752" t="str">
            <v>reduce the casting time of spells above one standard action</v>
          </cell>
        </row>
        <row r="753">
          <cell r="A753" t="str">
            <v>Reach Spell</v>
          </cell>
          <cell r="B753" t="str">
            <v>cast touch spells at a range of 30'</v>
          </cell>
        </row>
        <row r="754">
          <cell r="A754" t="str">
            <v>Silent Spell</v>
          </cell>
          <cell r="B754" t="str">
            <v>cast a spell without speaking the verbal component</v>
          </cell>
        </row>
        <row r="755">
          <cell r="A755" t="str">
            <v>Still Spell</v>
          </cell>
          <cell r="B755" t="str">
            <v>cast a spell without gestures (somatic components)</v>
          </cell>
        </row>
        <row r="756">
          <cell r="A756" t="str">
            <v>Transdimensional Spell</v>
          </cell>
          <cell r="B756" t="str">
            <v>spells have full normal effect upon incorporeal creatures</v>
          </cell>
        </row>
        <row r="757">
          <cell r="A757" t="str">
            <v>----[METAPSIONIC]----</v>
          </cell>
        </row>
        <row r="758">
          <cell r="A758" t="str">
            <v>Burrowing Power</v>
          </cell>
          <cell r="B758" t="str">
            <v>expend your psionic focus to manifest powers beyond walls</v>
          </cell>
        </row>
        <row r="759">
          <cell r="A759" t="str">
            <v>Chain Power</v>
          </cell>
          <cell r="B759" t="str">
            <v>expend your psionic focus to effect secondary targets</v>
          </cell>
        </row>
        <row r="760">
          <cell r="A760" t="str">
            <v>Delay Power</v>
          </cell>
          <cell r="B760" t="str">
            <v>expend your psionic focus to delay a power</v>
          </cell>
        </row>
        <row r="761">
          <cell r="A761" t="str">
            <v>Empower Power</v>
          </cell>
          <cell r="B761" t="str">
            <v>expend your psionic focus to empower a power</v>
          </cell>
        </row>
        <row r="762">
          <cell r="A762" t="str">
            <v>Enlarge Power</v>
          </cell>
          <cell r="B762" t="str">
            <v>expend your psionic focus to enlarge a power</v>
          </cell>
        </row>
        <row r="763">
          <cell r="A763" t="str">
            <v>Extend Power</v>
          </cell>
          <cell r="B763" t="str">
            <v>expend your psionic focus to extend a power</v>
          </cell>
        </row>
        <row r="764">
          <cell r="A764" t="str">
            <v>Maximize Power</v>
          </cell>
          <cell r="B764" t="str">
            <v>expend your psionic focus to manifest powers at maximum effect</v>
          </cell>
        </row>
        <row r="765">
          <cell r="A765" t="str">
            <v>Oppurtunity Power</v>
          </cell>
          <cell r="B765" t="str">
            <v>expend your psionic focus to manifest a power as an AoO</v>
          </cell>
        </row>
        <row r="766">
          <cell r="A766" t="str">
            <v>Quicken Power</v>
          </cell>
          <cell r="B766" t="str">
            <v>expend your psionic focus to manifest a spell as a free action</v>
          </cell>
        </row>
        <row r="767">
          <cell r="A767" t="str">
            <v>Split Psionic Ray</v>
          </cell>
          <cell r="B767" t="str">
            <v>expend your psionic focus to split a ray effect</v>
          </cell>
        </row>
        <row r="768">
          <cell r="A768" t="str">
            <v>Twin Power</v>
          </cell>
          <cell r="B768" t="str">
            <v>expend your psionic focus to cause a power to take effect twice</v>
          </cell>
        </row>
        <row r="769">
          <cell r="A769" t="str">
            <v>Unconditional Power</v>
          </cell>
          <cell r="B769" t="str">
            <v>expend your psionic focus to manifest while disabled</v>
          </cell>
        </row>
        <row r="770">
          <cell r="A770" t="str">
            <v>Widen Power</v>
          </cell>
          <cell r="B770" t="str">
            <v>expend your psionic focus to increase a power's area of effect</v>
          </cell>
        </row>
        <row r="771">
          <cell r="A771" t="str">
            <v>----[ITEM CREATION]----</v>
          </cell>
        </row>
        <row r="772">
          <cell r="A772" t="str">
            <v>Attune Item</v>
          </cell>
          <cell r="B772" t="str">
            <v>you gain a +1 bonus to attack and damage rolls with your attuned weapon</v>
          </cell>
        </row>
        <row r="773">
          <cell r="A773" t="str">
            <v>Bind Elemental</v>
          </cell>
          <cell r="B773" t="str">
            <v>you can create magic items involving bound elementals</v>
          </cell>
        </row>
        <row r="774">
          <cell r="A774" t="str">
            <v>Brew Potion</v>
          </cell>
          <cell r="B774" t="str">
            <v>create potions of 3rd level or lower</v>
          </cell>
        </row>
        <row r="775">
          <cell r="A775" t="str">
            <v>Craft Cognizance Crystal</v>
          </cell>
          <cell r="B775" t="str">
            <v>you can create crystals that store PPs</v>
          </cell>
        </row>
        <row r="776">
          <cell r="A776" t="str">
            <v>Craft Djore</v>
          </cell>
          <cell r="B776" t="str">
            <v>create psionic djores</v>
          </cell>
        </row>
        <row r="777">
          <cell r="A777" t="str">
            <v>Craft Magic Arms and Armor</v>
          </cell>
          <cell r="B777" t="str">
            <v>create or repair magic weapons, armor or shields</v>
          </cell>
        </row>
        <row r="778">
          <cell r="A778" t="str">
            <v>Craft Psicrown</v>
          </cell>
          <cell r="B778" t="str">
            <v>create psicrowns</v>
          </cell>
        </row>
        <row r="779">
          <cell r="A779" t="str">
            <v>Craft Psionic Arms and Armor</v>
          </cell>
          <cell r="B779" t="str">
            <v>create psionic weapons and armor</v>
          </cell>
        </row>
        <row r="780">
          <cell r="A780" t="str">
            <v>Craft Psionic Construct</v>
          </cell>
          <cell r="B780" t="str">
            <v>create psionic golems and automatons</v>
          </cell>
        </row>
        <row r="781">
          <cell r="A781" t="str">
            <v>Craft Rod</v>
          </cell>
          <cell r="B781" t="str">
            <v>create magic rods</v>
          </cell>
        </row>
        <row r="782">
          <cell r="A782" t="str">
            <v>Craft Staff</v>
          </cell>
          <cell r="B782" t="str">
            <v>create magic staffs</v>
          </cell>
        </row>
        <row r="783">
          <cell r="A783" t="str">
            <v>Craft Universal Item</v>
          </cell>
          <cell r="B783" t="str">
            <v>create universal psionic items</v>
          </cell>
        </row>
        <row r="784">
          <cell r="A784" t="str">
            <v>Craft Wand</v>
          </cell>
          <cell r="B784" t="str">
            <v>create magic wands</v>
          </cell>
        </row>
        <row r="785">
          <cell r="A785" t="str">
            <v>Craft Wondrous Item</v>
          </cell>
          <cell r="B785" t="str">
            <v>create or repair miscellaneous magic items</v>
          </cell>
        </row>
        <row r="786">
          <cell r="A786" t="str">
            <v>Exceptional Artisan</v>
          </cell>
          <cell r="B786" t="str">
            <v>when creating an item, reduce time by 25%</v>
          </cell>
        </row>
        <row r="787">
          <cell r="A787" t="str">
            <v>Extra Rings</v>
          </cell>
          <cell r="B787" t="str">
            <v>you may wear an additional ring on each hand</v>
          </cell>
        </row>
        <row r="788">
          <cell r="A788" t="str">
            <v>Extraordinary Artisan</v>
          </cell>
          <cell r="B788" t="str">
            <v>when creating an item, reduce price by 25%</v>
          </cell>
        </row>
        <row r="789">
          <cell r="A789" t="str">
            <v>Forge Ring</v>
          </cell>
          <cell r="B789" t="str">
            <v>create or repair magic rings</v>
          </cell>
        </row>
        <row r="790">
          <cell r="A790" t="str">
            <v>Imprint Stone</v>
          </cell>
          <cell r="B790" t="str">
            <v>create power stones</v>
          </cell>
        </row>
        <row r="791">
          <cell r="A791" t="str">
            <v>Legendary Artisan</v>
          </cell>
          <cell r="B791" t="str">
            <v>when creating an item, reduce the XP cost by 25%</v>
          </cell>
        </row>
        <row r="792">
          <cell r="A792" t="str">
            <v>Sanctify Relic</v>
          </cell>
          <cell r="B792" t="str">
            <v>create magic items imbued with the power of your deity</v>
          </cell>
        </row>
        <row r="793">
          <cell r="A793" t="str">
            <v>Scribe Scroll</v>
          </cell>
          <cell r="B793" t="str">
            <v>create magic scrolls</v>
          </cell>
        </row>
        <row r="794">
          <cell r="A794" t="str">
            <v>Scribe Tattoo</v>
          </cell>
          <cell r="B794" t="str">
            <v>create psionic tattoos</v>
          </cell>
        </row>
        <row r="795">
          <cell r="A795" t="str">
            <v>----[WILD]----</v>
          </cell>
        </row>
        <row r="796">
          <cell r="A796" t="str">
            <v>Bear's Ferocity</v>
          </cell>
          <cell r="B796" t="str">
            <v>spend a wild shape to act while disabled or dying</v>
          </cell>
        </row>
        <row r="797">
          <cell r="A797" t="str">
            <v>Cheetah's Speed</v>
          </cell>
          <cell r="B797" t="str">
            <v>spend a wild shape to increase your speed to 50 and run 10x your normal speed</v>
          </cell>
        </row>
        <row r="798">
          <cell r="A798" t="str">
            <v>Eagle's Wings</v>
          </cell>
          <cell r="B798" t="str">
            <v>spend a wild shape to fly at 60' (average)</v>
          </cell>
        </row>
        <row r="799">
          <cell r="A799" t="str">
            <v>Elephant's Hide</v>
          </cell>
          <cell r="B799" t="str">
            <v>spend a wild shape to give yourself +6 natural armor and 1/- DR</v>
          </cell>
        </row>
        <row r="800">
          <cell r="A800" t="str">
            <v>Extra Wild Shape</v>
          </cell>
          <cell r="B800" t="str">
            <v>gain two more uses of wild shape per day</v>
          </cell>
        </row>
        <row r="801">
          <cell r="A801" t="str">
            <v>Fast Wild Shape</v>
          </cell>
          <cell r="B801" t="str">
            <v>wild shape as a move action</v>
          </cell>
        </row>
        <row r="802">
          <cell r="A802" t="str">
            <v>Grizzly's Claws</v>
          </cell>
          <cell r="B802" t="str">
            <v>spend a wild shape to gain two primary claw attacks (1d6)</v>
          </cell>
        </row>
        <row r="803">
          <cell r="A803" t="str">
            <v>Lion's Pounce</v>
          </cell>
          <cell r="B803" t="str">
            <v>spend a wild shape to make a full attack at the end of a charge</v>
          </cell>
        </row>
        <row r="804">
          <cell r="A804" t="str">
            <v>Oaken Resilience</v>
          </cell>
          <cell r="B804" t="str">
            <v>spend a wild shape to gain immunities and a +8 against bull rushes and trips</v>
          </cell>
        </row>
        <row r="805">
          <cell r="A805" t="str">
            <v>Serpent's Venom</v>
          </cell>
          <cell r="B805" t="str">
            <v>gain a poisonous bite attack (1d4/Fort DC: 16; 1d6Con/1d6Con)</v>
          </cell>
        </row>
        <row r="806">
          <cell r="A806" t="str">
            <v>Swim Like a Fish</v>
          </cell>
          <cell r="B806" t="str">
            <v>spend a wild shape to gain gills, a swim speed of 40' and a +8 bonus to swim checks</v>
          </cell>
        </row>
        <row r="807">
          <cell r="A807" t="str">
            <v>Wolverine's Rage</v>
          </cell>
          <cell r="B807" t="str">
            <v>spend a wild shape to rage as a free action (+2 str, +2 con, -2 AC)</v>
          </cell>
        </row>
        <row r="808">
          <cell r="A808" t="str">
            <v>----[SPECIAL]----</v>
          </cell>
        </row>
        <row r="809">
          <cell r="A809" t="str">
            <v>Greater Weapon Focus</v>
          </cell>
          <cell r="B809" t="str">
            <v>+1 attack with one weapon type</v>
          </cell>
        </row>
        <row r="810">
          <cell r="A810" t="str">
            <v>Greater Weapon Specialization</v>
          </cell>
          <cell r="B810" t="str">
            <v>+2 damage with one weapon type</v>
          </cell>
        </row>
        <row r="811">
          <cell r="A811" t="str">
            <v>Spell Mastery</v>
          </cell>
          <cell r="B811" t="str">
            <v>may prepare 4 spells without a spellbook</v>
          </cell>
        </row>
        <row r="812">
          <cell r="A812" t="str">
            <v>Weapon Specialization</v>
          </cell>
          <cell r="B812" t="str">
            <v>+2 to damage rolls with one weapon type</v>
          </cell>
        </row>
        <row r="813">
          <cell r="A813" t="str">
            <v>----[TACTICAL]----</v>
          </cell>
        </row>
        <row r="814">
          <cell r="A814" t="str">
            <v>Cavalry Charger</v>
          </cell>
          <cell r="B814" t="str">
            <v>fighting while mounted is second nature to you</v>
          </cell>
        </row>
        <row r="815">
          <cell r="A815" t="str">
            <v>Combat Brute</v>
          </cell>
          <cell r="B815" t="str">
            <v>you employ strength and leverage to great effect in battle</v>
          </cell>
        </row>
        <row r="816">
          <cell r="A816" t="str">
            <v>Elusive Target</v>
          </cell>
          <cell r="B816" t="str">
            <v>trying to land a blow against you can be a maddening experience</v>
          </cell>
        </row>
        <row r="817">
          <cell r="A817" t="str">
            <v>Formation Expert</v>
          </cell>
          <cell r="B817" t="str">
            <v>you are trained at fighting in ranks and files</v>
          </cell>
        </row>
        <row r="818">
          <cell r="A818" t="str">
            <v>Giantbane</v>
          </cell>
          <cell r="B818" t="str">
            <v>you are trained in fighting foes larger than you are</v>
          </cell>
        </row>
        <row r="819">
          <cell r="A819" t="str">
            <v>Raptor School</v>
          </cell>
          <cell r="B819" t="str">
            <v>you know martial arts techniques inspired by hunting birds</v>
          </cell>
        </row>
        <row r="820">
          <cell r="A820" t="str">
            <v>Shock Trooper</v>
          </cell>
          <cell r="B820" t="str">
            <v>you are adept at breaking up formations of soldiers when you rush into battle</v>
          </cell>
        </row>
        <row r="821">
          <cell r="A821" t="str">
            <v>Sun School</v>
          </cell>
          <cell r="B821" t="str">
            <v>you have learned a number of esoteric martial arts techniques inspired by the sun</v>
          </cell>
        </row>
        <row r="822">
          <cell r="A822" t="str">
            <v>---- {SECRETS] ----</v>
          </cell>
        </row>
        <row r="823">
          <cell r="A823" t="str">
            <v>Applicable Knowledge</v>
          </cell>
          <cell r="B823" t="str">
            <v>gain a feat</v>
          </cell>
        </row>
        <row r="824">
          <cell r="A824" t="str">
            <v>Dodge Trick</v>
          </cell>
          <cell r="B824" t="str">
            <v>+1 dodge bonus to AC</v>
          </cell>
        </row>
        <row r="825">
          <cell r="A825" t="str">
            <v>Instant Mastery</v>
          </cell>
          <cell r="B825" t="str">
            <v>gain 4 ranks in a skill with no ranks</v>
          </cell>
        </row>
        <row r="826">
          <cell r="A826" t="str">
            <v>Lore of True Stamina</v>
          </cell>
          <cell r="B826" t="str">
            <v>+1 bonus to all Fortitude saving throws</v>
          </cell>
        </row>
        <row r="827">
          <cell r="A827" t="str">
            <v>More Newfound Arcana</v>
          </cell>
          <cell r="B827" t="str">
            <v>gain 1 bonus 2nd level spell</v>
          </cell>
        </row>
        <row r="828">
          <cell r="A828" t="str">
            <v>Newfound Arcana</v>
          </cell>
          <cell r="B828" t="str">
            <v>gain 1 bonus 1st level spell</v>
          </cell>
        </row>
        <row r="829">
          <cell r="A829" t="str">
            <v>Secret Health</v>
          </cell>
          <cell r="B829" t="str">
            <v>gain +3 hit points</v>
          </cell>
        </row>
        <row r="830">
          <cell r="A830" t="str">
            <v>Secret Knowledge of Avoidance</v>
          </cell>
          <cell r="B830" t="str">
            <v>+1 bonus to all Reflex saving throws</v>
          </cell>
        </row>
        <row r="831">
          <cell r="A831" t="str">
            <v>Secrets of Inner Strength</v>
          </cell>
          <cell r="B831" t="str">
            <v>+1 bonus to all Will saving throws</v>
          </cell>
        </row>
        <row r="832">
          <cell r="A832" t="str">
            <v>Weapon Trick</v>
          </cell>
          <cell r="B832" t="str">
            <v>+1 bonus to attack rolls</v>
          </cell>
        </row>
        <row r="833">
          <cell r="A833" t="str">
            <v>Secrets of Inner Strength</v>
          </cell>
          <cell r="B833" t="str">
            <v>+1 bonus to all Will saving throws</v>
          </cell>
        </row>
        <row r="834">
          <cell r="A834" t="str">
            <v>Weapon Trick</v>
          </cell>
          <cell r="B834" t="str">
            <v>+1 bonus to attack rolls</v>
          </cell>
        </row>
        <row r="835">
          <cell r="A835" t="str">
            <v>----[TRAITS]----</v>
          </cell>
        </row>
        <row r="836">
          <cell r="A836" t="str">
            <v>Abrasive</v>
          </cell>
          <cell r="B836" t="str">
            <v>+1 bonus on intimidate checks; -1 penalty on diplomacy and bluff checks</v>
          </cell>
        </row>
        <row r="837">
          <cell r="A837" t="str">
            <v>Absent-minded</v>
          </cell>
          <cell r="B837" t="str">
            <v>+1 bonus on Knowledge checks; -1 penalty on spot and listen checks</v>
          </cell>
        </row>
        <row r="838">
          <cell r="A838" t="str">
            <v>Aggressive</v>
          </cell>
          <cell r="B838" t="str">
            <v>+2 on initiative checks; -1 penalty to armor class</v>
          </cell>
        </row>
        <row r="839">
          <cell r="A839" t="str">
            <v>Brawler</v>
          </cell>
          <cell r="B839" t="str">
            <v>+1 bonus to unarmed attacks, -1 penalty to all other attack rolls</v>
          </cell>
        </row>
        <row r="840">
          <cell r="A840" t="str">
            <v>Cautious</v>
          </cell>
          <cell r="B840" t="str">
            <v>+1 dodge bonus to AC; -1 penalty to saving throws vs fear</v>
          </cell>
        </row>
        <row r="841">
          <cell r="A841" t="str">
            <v>Detached</v>
          </cell>
          <cell r="B841" t="str">
            <v>+1 bonus on will saves; -1 penalty to reflex saves</v>
          </cell>
        </row>
        <row r="842">
          <cell r="A842" t="str">
            <v>Dishonest</v>
          </cell>
          <cell r="B842" t="str">
            <v>+1 bonus on bluff checks; -2 penalty to diplomacy checks</v>
          </cell>
        </row>
        <row r="843">
          <cell r="A843" t="str">
            <v>Distinctive</v>
          </cell>
          <cell r="B843" t="str">
            <v>+1 on reputation checks; -1 penalty on disguise checks</v>
          </cell>
        </row>
        <row r="844">
          <cell r="A844" t="str">
            <v>Easygoing</v>
          </cell>
          <cell r="B844" t="str">
            <v>+1 bonus on gather information checks; -1 penalty on intimidate and sense motive checks</v>
          </cell>
        </row>
        <row r="845">
          <cell r="A845" t="str">
            <v>Farsighted</v>
          </cell>
          <cell r="B845" t="str">
            <v>+1 bonus on spot checks; -2 penalty on search checks</v>
          </cell>
        </row>
        <row r="846">
          <cell r="A846" t="str">
            <v>Focused</v>
          </cell>
          <cell r="B846" t="str">
            <v>+1 bonus on concentration checks; -1 penalty on spot and listen checks</v>
          </cell>
        </row>
        <row r="847">
          <cell r="A847" t="str">
            <v>Hard of Hearing</v>
          </cell>
          <cell r="B847" t="str">
            <v>+1 bonus on spot checks; -2 penalty on listen checks</v>
          </cell>
        </row>
        <row r="848">
          <cell r="A848" t="str">
            <v>Hardy</v>
          </cell>
          <cell r="B848" t="str">
            <v>+1 bonus on fortitude saves; -1 penalty on reflex saves</v>
          </cell>
        </row>
        <row r="849">
          <cell r="A849" t="str">
            <v>Honest</v>
          </cell>
          <cell r="B849" t="str">
            <v>+1 bonus on Diplomacy; -1 penalty on bluff and sense motive checks</v>
          </cell>
        </row>
        <row r="850">
          <cell r="A850" t="str">
            <v>Illiterate</v>
          </cell>
          <cell r="B850" t="str">
            <v>+1 bonus on any one skill (except decipher script)</v>
          </cell>
        </row>
        <row r="851">
          <cell r="A851" t="str">
            <v>Inattentive</v>
          </cell>
          <cell r="B851" t="str">
            <v>+1 bonus on simple uses of any one skill; -4 penalty on complex uses of same skill</v>
          </cell>
        </row>
        <row r="852">
          <cell r="A852" t="str">
            <v>Musclebound</v>
          </cell>
          <cell r="B852" t="str">
            <v>+1 bonus on all str based skill and ability checks; -2 penalty on dex based skill and ability checks</v>
          </cell>
        </row>
        <row r="853">
          <cell r="A853" t="str">
            <v>Nearsighted</v>
          </cell>
          <cell r="B853" t="str">
            <v>+1 bonus on search checks; -1 penalty on spot checks</v>
          </cell>
        </row>
        <row r="854">
          <cell r="A854" t="str">
            <v>Nightsighted</v>
          </cell>
          <cell r="B854" t="str">
            <v>add 10 ft to the range of your darkvision; -1 penalty on spot checks made in bright light</v>
          </cell>
        </row>
        <row r="855">
          <cell r="A855" t="str">
            <v>Passionate</v>
          </cell>
          <cell r="B855" t="str">
            <v>+1 bonus on fortitude saves; -1 penalty on will saves</v>
          </cell>
        </row>
        <row r="856">
          <cell r="A856" t="str">
            <v>Plucky</v>
          </cell>
          <cell r="B856" t="str">
            <v>+1 bonus on will saves; -1 penalty on fortitude saves</v>
          </cell>
        </row>
        <row r="857">
          <cell r="A857" t="str">
            <v>Polite</v>
          </cell>
          <cell r="B857" t="str">
            <v>+1 bonus on diplomacy checks; -2 penalty on intimidate checks</v>
          </cell>
        </row>
        <row r="858">
          <cell r="A858" t="str">
            <v>Quick</v>
          </cell>
          <cell r="B858" t="str">
            <v>land speed increases by 10 ft; -1 hp per level</v>
          </cell>
        </row>
        <row r="859">
          <cell r="A859" t="str">
            <v>Reckless</v>
          </cell>
          <cell r="B859" t="str">
            <v>+1 on all melee damage rolls; -1 penalty on all melee attack rolls</v>
          </cell>
        </row>
        <row r="860">
          <cell r="A860" t="str">
            <v>Relentless</v>
          </cell>
          <cell r="B860" t="str">
            <v>+2 bonus on all con checks from tiring actions; you become exhausted instead of fatigued</v>
          </cell>
        </row>
        <row r="861">
          <cell r="A861" t="str">
            <v>Saddleborn</v>
          </cell>
          <cell r="B861" t="str">
            <v>+1 bonus on all ride checks; -1 penalty on all handle animal checks</v>
          </cell>
        </row>
        <row r="862">
          <cell r="A862" t="str">
            <v>Skinny</v>
          </cell>
          <cell r="B862" t="str">
            <v>+1 bonus on escape artist rolls; -2 penalty on str checks to avoid being bullrushed or overrun</v>
          </cell>
        </row>
        <row r="863">
          <cell r="A863" t="str">
            <v>Slippery</v>
          </cell>
          <cell r="B863" t="str">
            <v>+1 bonus on escape artist checks to escape a grapple; -1 penalty to all other grapple rolls</v>
          </cell>
        </row>
        <row r="864">
          <cell r="A864" t="str">
            <v>Slow</v>
          </cell>
          <cell r="B864" t="str">
            <v>+1 hp per level; base land speed is reduced by half</v>
          </cell>
        </row>
        <row r="865">
          <cell r="A865" t="str">
            <v>Specialized</v>
          </cell>
          <cell r="B865" t="str">
            <v>+1 bonus to any one craft, knowledge or profession skill; -2 on all others of same category</v>
          </cell>
        </row>
        <row r="866">
          <cell r="A866" t="str">
            <v>Spellgifted</v>
          </cell>
          <cell r="B866" t="str">
            <v>+1 caster level to any one school of magic, -1 caster level on all others</v>
          </cell>
        </row>
        <row r="867">
          <cell r="A867" t="str">
            <v>Stout</v>
          </cell>
          <cell r="B867" t="str">
            <v>+2 bonus on str checks to avoid being bullrushed or overrun; -1 penalty on escape artist checks</v>
          </cell>
        </row>
        <row r="868">
          <cell r="A868" t="str">
            <v>Suspicious</v>
          </cell>
          <cell r="B868" t="str">
            <v>+1 bonus on sense motive checks; -1 penalty on diplomacy and intimidate checks</v>
          </cell>
        </row>
        <row r="869">
          <cell r="A869" t="str">
            <v>Torpid</v>
          </cell>
          <cell r="B869" t="str">
            <v>+1 bonus on saves vs enchantment (compulsion) effects; -2 penalty on initiative checks</v>
          </cell>
        </row>
        <row r="870">
          <cell r="A870" t="str">
            <v>Uncivilized</v>
          </cell>
          <cell r="B870" t="str">
            <v>+1 bonus on handle animal and wild empathy checks; -1 penalty on bluff, diplomacy and gather information checks</v>
          </cell>
        </row>
        <row r="871">
          <cell r="A871" t="str">
            <v>----[FLAWS]----</v>
          </cell>
        </row>
        <row r="872">
          <cell r="A872" t="str">
            <v>Feeble</v>
          </cell>
          <cell r="B872" t="str">
            <v>-2 penalty on all str, dex and con based skill and ability checks</v>
          </cell>
        </row>
        <row r="873">
          <cell r="A873" t="str">
            <v>Frail</v>
          </cell>
          <cell r="B873" t="str">
            <v>-1 hp per level</v>
          </cell>
        </row>
        <row r="874">
          <cell r="A874" t="str">
            <v>Inattentive</v>
          </cell>
          <cell r="B874" t="str">
            <v>-4 penalty on spot and listen checks</v>
          </cell>
        </row>
        <row r="875">
          <cell r="A875" t="str">
            <v>Meager Fortitude</v>
          </cell>
          <cell r="B875" t="str">
            <v>-3 penalty on fortitude saves</v>
          </cell>
        </row>
        <row r="876">
          <cell r="A876" t="str">
            <v>Murky-Eyed</v>
          </cell>
          <cell r="B876" t="str">
            <v>if attacking a concealed foe, roll twice for failure, if either fail, so do you</v>
          </cell>
        </row>
        <row r="877">
          <cell r="A877" t="str">
            <v>Noncombatant</v>
          </cell>
          <cell r="B877" t="str">
            <v>-2 penalty on all melee attack rolls</v>
          </cell>
        </row>
        <row r="878">
          <cell r="A878" t="str">
            <v>Pathetic</v>
          </cell>
          <cell r="B878" t="str">
            <v>reduce one of your ability scores by 2</v>
          </cell>
        </row>
        <row r="879">
          <cell r="A879" t="str">
            <v>Poor Reflexes</v>
          </cell>
          <cell r="B879" t="str">
            <v>-3 penalty on reflex saves</v>
          </cell>
        </row>
        <row r="880">
          <cell r="A880" t="str">
            <v>Shaky</v>
          </cell>
          <cell r="B880" t="str">
            <v>-2 penalty on all ranged attack rolls</v>
          </cell>
        </row>
        <row r="881">
          <cell r="A881" t="str">
            <v>Slow</v>
          </cell>
          <cell r="B881" t="str">
            <v>half your base land speed</v>
          </cell>
        </row>
        <row r="882">
          <cell r="A882" t="str">
            <v>Unreactive</v>
          </cell>
          <cell r="B882" t="str">
            <v>-6 penalty to initiative checks</v>
          </cell>
        </row>
        <row r="883">
          <cell r="A883" t="str">
            <v>Vulnerable</v>
          </cell>
          <cell r="B883" t="str">
            <v>-1 penalty to armor class</v>
          </cell>
        </row>
        <row r="884">
          <cell r="A884" t="str">
            <v>Weak Will</v>
          </cell>
          <cell r="B884" t="str">
            <v>-3 penalty on will saves</v>
          </cell>
        </row>
        <row r="885">
          <cell r="A885" t="str">
            <v>-- Custom Feats --</v>
          </cell>
        </row>
        <row r="886">
          <cell r="A886" t="str">
            <v>Dauntless</v>
          </cell>
          <cell r="B886" t="str">
            <v>+5 HP Once</v>
          </cell>
        </row>
        <row r="887">
          <cell r="A887" t="str">
            <v>-------------</v>
          </cell>
          <cell r="B887" t="str">
            <v>INSERT ROWS FOR ADDITIONAL FEATS ABOVE THIS ROW</v>
          </cell>
        </row>
        <row r="906">
          <cell r="A906" t="str">
            <v>Air</v>
          </cell>
          <cell r="B906" t="str">
            <v>turn earth creatures 3 times/day</v>
          </cell>
        </row>
        <row r="907">
          <cell r="A907" t="str">
            <v>Animal</v>
          </cell>
          <cell r="B907" t="str">
            <v>cast Animal Friendship once/day; Knowledge (nature) is a class skill</v>
          </cell>
        </row>
        <row r="908">
          <cell r="A908" t="str">
            <v>Chaos</v>
          </cell>
          <cell r="B908" t="str">
            <v>cast Chaos spell at +1 caster level</v>
          </cell>
        </row>
        <row r="909">
          <cell r="A909" t="str">
            <v>Death</v>
          </cell>
          <cell r="B909" t="str">
            <v>death touch once/day, up to 0d6 hit points</v>
          </cell>
        </row>
        <row r="910">
          <cell r="A910" t="str">
            <v>Destruction</v>
          </cell>
          <cell r="B910" t="str">
            <v>smite attack once/day (+4 attack bonus, +0 damage)</v>
          </cell>
        </row>
        <row r="911">
          <cell r="A911" t="str">
            <v>Earth</v>
          </cell>
          <cell r="B911" t="str">
            <v>turn air creatures 3 times/day</v>
          </cell>
        </row>
        <row r="912">
          <cell r="A912" t="str">
            <v>Evil</v>
          </cell>
          <cell r="B912" t="str">
            <v>cast Evil spells at +1 caster level</v>
          </cell>
        </row>
        <row r="913">
          <cell r="A913" t="str">
            <v>Fire</v>
          </cell>
          <cell r="B913" t="str">
            <v>turn water creatures 3 times/day</v>
          </cell>
        </row>
        <row r="914">
          <cell r="A914" t="str">
            <v>Good</v>
          </cell>
          <cell r="B914" t="str">
            <v>cast Good spells at +1 caster level</v>
          </cell>
        </row>
        <row r="915">
          <cell r="A915" t="str">
            <v>Healing</v>
          </cell>
          <cell r="B915" t="str">
            <v>cast healing spells at +1 caster level</v>
          </cell>
        </row>
        <row r="916">
          <cell r="A916" t="str">
            <v>Knowledge</v>
          </cell>
          <cell r="B916" t="str">
            <v>all knowledge skills are class skills; cast divinations at +1 caster level</v>
          </cell>
        </row>
        <row r="917">
          <cell r="A917" t="str">
            <v>Law</v>
          </cell>
          <cell r="B917" t="str">
            <v>cast Law spells at +1 caster level</v>
          </cell>
        </row>
        <row r="918">
          <cell r="A918" t="str">
            <v>Luck</v>
          </cell>
          <cell r="B918" t="str">
            <v>reroll one die roll per day</v>
          </cell>
        </row>
        <row r="919">
          <cell r="A919" t="str">
            <v>Magic</v>
          </cell>
          <cell r="B919" t="str">
            <v>use magic devices as a 1st-level wizard</v>
          </cell>
        </row>
        <row r="920">
          <cell r="A920" t="str">
            <v>Plant</v>
          </cell>
          <cell r="B920" t="str">
            <v>rebuke plants (3 times/day); Knowledge (nature) is a class skill</v>
          </cell>
        </row>
        <row r="921">
          <cell r="A921" t="str">
            <v>Protection</v>
          </cell>
          <cell r="B921" t="str">
            <v>grant a +0 resistance bonus to a creature's next saving throw once/day</v>
          </cell>
        </row>
        <row r="922">
          <cell r="A922" t="str">
            <v>Strength</v>
          </cell>
          <cell r="B922" t="str">
            <v>gain a +0 enhancement bonus to Strength for one round/day</v>
          </cell>
        </row>
        <row r="923">
          <cell r="A923" t="str">
            <v>Sun</v>
          </cell>
          <cell r="B923" t="str">
            <v>turned/rebuked undead are destroyed, once/day</v>
          </cell>
        </row>
        <row r="924">
          <cell r="A924" t="str">
            <v>Travel</v>
          </cell>
          <cell r="B924" t="str">
            <v>Freedom of Movement for 0 rounds/day; Wilderness Lore is a class skill</v>
          </cell>
        </row>
        <row r="925">
          <cell r="A925" t="str">
            <v>Trickery</v>
          </cell>
          <cell r="B925" t="str">
            <v>Bluff, Disguise and Hide are class skills</v>
          </cell>
        </row>
        <row r="926">
          <cell r="A926" t="str">
            <v>War</v>
          </cell>
          <cell r="B926" t="str">
            <v>Martial Weapon Proficiency and Weapon Focus with the preferred weapon</v>
          </cell>
        </row>
        <row r="927">
          <cell r="A927" t="str">
            <v>Water</v>
          </cell>
          <cell r="B927" t="str">
            <v>turn fire creatures 3 times/day</v>
          </cell>
        </row>
        <row r="928">
          <cell r="A928" t="str">
            <v>-- Prestige Domains --</v>
          </cell>
        </row>
        <row r="929">
          <cell r="A929" t="str">
            <v>Beastmaster</v>
          </cell>
          <cell r="B929" t="str">
            <v>Speak With Animals once/day per level</v>
          </cell>
        </row>
        <row r="930">
          <cell r="A930" t="str">
            <v>Celerity</v>
          </cell>
          <cell r="B930" t="str">
            <v>+2 enhancement bonus to Dex and Initiative, +10' speed in light armor</v>
          </cell>
        </row>
        <row r="931">
          <cell r="A931" t="str">
            <v>Community</v>
          </cell>
          <cell r="B931" t="str">
            <v>Calm Emotions once/day; +2 bonus to Diplomacy checks</v>
          </cell>
        </row>
        <row r="932">
          <cell r="A932" t="str">
            <v>Creation</v>
          </cell>
          <cell r="B932" t="str">
            <v>cast conjuration (creation) spells at +2 caster level</v>
          </cell>
        </row>
        <row r="933">
          <cell r="A933" t="str">
            <v>Divination</v>
          </cell>
          <cell r="B933" t="str">
            <v>cast divination spells at +2 caster level</v>
          </cell>
        </row>
        <row r="934">
          <cell r="A934" t="str">
            <v>Domination</v>
          </cell>
          <cell r="B934" t="str">
            <v>gain Spell Focus (Enchantment) as a bonus feat</v>
          </cell>
        </row>
        <row r="935">
          <cell r="A935" t="str">
            <v>Exorcism</v>
          </cell>
          <cell r="B935" t="str">
            <v>force possessing spirits out of their host bodies</v>
          </cell>
        </row>
        <row r="936">
          <cell r="A936" t="str">
            <v>Glory</v>
          </cell>
          <cell r="B936" t="str">
            <v>+2 to turn undead checks; +1d6 to turning damage roll</v>
          </cell>
        </row>
        <row r="937">
          <cell r="A937" t="str">
            <v>Inquisition</v>
          </cell>
          <cell r="B937" t="str">
            <v>+4 bonus to dispel checks</v>
          </cell>
        </row>
        <row r="938">
          <cell r="A938" t="str">
            <v>Madness</v>
          </cell>
          <cell r="B938" t="str">
            <v>gain an Insanity score to enhance/hinder Wisdom</v>
          </cell>
        </row>
        <row r="939">
          <cell r="A939" t="str">
            <v>Mind</v>
          </cell>
          <cell r="B939" t="str">
            <v>+2 to Bluff, Diplomacy, Innuendo, Read Lips, Sense Motive</v>
          </cell>
        </row>
        <row r="940">
          <cell r="A940" t="str">
            <v>Mysticism</v>
          </cell>
          <cell r="B940" t="str">
            <v>+0 bonus to saving throws</v>
          </cell>
        </row>
        <row r="941">
          <cell r="A941" t="str">
            <v>Pestilence</v>
          </cell>
          <cell r="B941" t="str">
            <v>immune to the effects of disease</v>
          </cell>
        </row>
        <row r="942">
          <cell r="A942" t="str">
            <v>Summoning</v>
          </cell>
          <cell r="B942" t="str">
            <v>cast Summon Monster spells at twice caster level</v>
          </cell>
        </row>
        <row r="943">
          <cell r="A943" t="str">
            <v>-- Custom Domains --</v>
          </cell>
        </row>
        <row r="944">
          <cell r="A944" t="str">
            <v>-------------</v>
          </cell>
          <cell r="B944" t="str">
            <v>INSERT ROWS FOR ADDITIONAL DOMAINS ABOVE THIS ROW</v>
          </cell>
        </row>
        <row r="947">
          <cell r="A947" t="str">
            <v>--Familiars--</v>
          </cell>
          <cell r="AA947" t="str">
            <v>familiar</v>
          </cell>
        </row>
        <row r="948">
          <cell r="A948" t="str">
            <v>none selected</v>
          </cell>
          <cell r="F948" t="str">
            <v/>
          </cell>
          <cell r="G948" t="str">
            <v/>
          </cell>
          <cell r="H948" t="str">
            <v/>
          </cell>
          <cell r="I948" t="str">
            <v/>
          </cell>
          <cell r="J948" t="str">
            <v/>
          </cell>
          <cell r="K948" t="str">
            <v/>
          </cell>
          <cell r="L948" t="str">
            <v/>
          </cell>
          <cell r="M948" t="str">
            <v/>
          </cell>
          <cell r="N948" t="str">
            <v/>
          </cell>
          <cell r="O948" t="str">
            <v/>
          </cell>
          <cell r="P948" t="str">
            <v/>
          </cell>
          <cell r="Q948" t="str">
            <v/>
          </cell>
          <cell r="R948" t="str">
            <v/>
          </cell>
          <cell r="S948" t="str">
            <v/>
          </cell>
          <cell r="T948" t="str">
            <v/>
          </cell>
          <cell r="U948" t="str">
            <v/>
          </cell>
          <cell r="V948" t="str">
            <v/>
          </cell>
          <cell r="W948" t="str">
            <v/>
          </cell>
          <cell r="X948" t="str">
            <v/>
          </cell>
          <cell r="Y948" t="str">
            <v/>
          </cell>
          <cell r="AA948" t="str">
            <v>mount</v>
          </cell>
        </row>
        <row r="949">
          <cell r="A949" t="str">
            <v>Bat</v>
          </cell>
          <cell r="B949" t="str">
            <v>no special abilities</v>
          </cell>
          <cell r="C949" t="str">
            <v/>
          </cell>
          <cell r="D949" t="str">
            <v xml:space="preserve">no special abilities;
</v>
          </cell>
          <cell r="E949" t="str">
            <v>animal</v>
          </cell>
          <cell r="F949">
            <v>1</v>
          </cell>
          <cell r="G949">
            <v>15</v>
          </cell>
          <cell r="H949">
            <v>10</v>
          </cell>
          <cell r="I949">
            <v>2</v>
          </cell>
          <cell r="J949">
            <v>14</v>
          </cell>
          <cell r="K949">
            <v>4</v>
          </cell>
          <cell r="L949" t="str">
            <v>dimin.</v>
          </cell>
          <cell r="M949" t="str">
            <v>5'/40' fly (good)</v>
          </cell>
          <cell r="N949" t="str">
            <v>1/4d8</v>
          </cell>
          <cell r="O949" t="str">
            <v>+4</v>
          </cell>
          <cell r="P949" t="str">
            <v>+6</v>
          </cell>
          <cell r="Q949" t="str">
            <v>+3</v>
          </cell>
          <cell r="R949" t="str">
            <v>--</v>
          </cell>
          <cell r="S949" t="str">
            <v>--</v>
          </cell>
          <cell r="T949">
            <v>16</v>
          </cell>
          <cell r="U949">
            <v>17</v>
          </cell>
          <cell r="V949" t="str">
            <v>Listen +9, Move Silently +6, Spot +9</v>
          </cell>
          <cell r="X949" t="str">
            <v>blindsight (ex): can locate objects and creatures up to 120' away</v>
          </cell>
          <cell r="AA949" t="str">
            <v>animal companion</v>
          </cell>
        </row>
        <row r="950">
          <cell r="A950" t="str">
            <v>Cat</v>
          </cell>
          <cell r="B950" t="str">
            <v>no special abilities</v>
          </cell>
          <cell r="C950" t="str">
            <v/>
          </cell>
          <cell r="D950" t="str">
            <v xml:space="preserve">no special abilities;
</v>
          </cell>
          <cell r="E950" t="str">
            <v>animal</v>
          </cell>
          <cell r="F950">
            <v>3</v>
          </cell>
          <cell r="G950">
            <v>15</v>
          </cell>
          <cell r="H950">
            <v>10</v>
          </cell>
          <cell r="I950">
            <v>2</v>
          </cell>
          <cell r="J950">
            <v>12</v>
          </cell>
          <cell r="K950">
            <v>7</v>
          </cell>
          <cell r="L950" t="str">
            <v>tiny</v>
          </cell>
          <cell r="M950" t="str">
            <v>30'</v>
          </cell>
          <cell r="N950" t="str">
            <v>1/2d8</v>
          </cell>
          <cell r="O950" t="str">
            <v>+4</v>
          </cell>
          <cell r="P950" t="str">
            <v>+6</v>
          </cell>
          <cell r="Q950" t="str">
            <v>+2</v>
          </cell>
          <cell r="R950" t="str">
            <v>2 claws +8 melee; bite +3 melee</v>
          </cell>
          <cell r="S950" t="str">
            <v>Claw 1d2-4; bite 1d3-4</v>
          </cell>
          <cell r="T950">
            <v>14</v>
          </cell>
          <cell r="U950">
            <v>17</v>
          </cell>
          <cell r="V950" t="str">
            <v>Balance +10, Climb +5, Hide +17, Listen +4, Move Silently +9, Spot +4</v>
          </cell>
          <cell r="W950" t="str">
            <v>weapon finesse</v>
          </cell>
          <cell r="X950" t="str">
            <v>+4 Hide bonus when in heavy undergrowth</v>
          </cell>
        </row>
        <row r="951">
          <cell r="A951" t="str">
            <v>Hawk</v>
          </cell>
          <cell r="B951" t="str">
            <v>no special abilities</v>
          </cell>
          <cell r="C951" t="str">
            <v/>
          </cell>
          <cell r="D951" t="str">
            <v xml:space="preserve">no special abilities;
</v>
          </cell>
          <cell r="E951" t="str">
            <v>animal</v>
          </cell>
          <cell r="F951">
            <v>6</v>
          </cell>
          <cell r="G951">
            <v>17</v>
          </cell>
          <cell r="H951">
            <v>10</v>
          </cell>
          <cell r="I951">
            <v>2</v>
          </cell>
          <cell r="J951">
            <v>14</v>
          </cell>
          <cell r="K951">
            <v>6</v>
          </cell>
          <cell r="L951" t="str">
            <v>tiny</v>
          </cell>
          <cell r="M951" t="str">
            <v>10'/60' fly (avg)</v>
          </cell>
          <cell r="N951" t="str">
            <v>1d8</v>
          </cell>
          <cell r="O951" t="str">
            <v>+4</v>
          </cell>
          <cell r="P951" t="str">
            <v>+7</v>
          </cell>
          <cell r="Q951" t="str">
            <v>+3</v>
          </cell>
          <cell r="R951" t="str">
            <v>Claws +9 melee</v>
          </cell>
          <cell r="S951" t="str">
            <v>Claws 1d4-2</v>
          </cell>
          <cell r="T951">
            <v>17</v>
          </cell>
          <cell r="U951">
            <v>17</v>
          </cell>
          <cell r="V951" t="str">
            <v>Listen +6, Spot +6</v>
          </cell>
          <cell r="W951" t="str">
            <v>weapon finesse</v>
          </cell>
          <cell r="X951" t="str">
            <v>+8 Spot bonus in daylight</v>
          </cell>
        </row>
        <row r="952">
          <cell r="A952" t="str">
            <v>Lizard</v>
          </cell>
          <cell r="B952" t="str">
            <v>no special abilities</v>
          </cell>
          <cell r="C952" t="str">
            <v/>
          </cell>
          <cell r="D952" t="str">
            <v xml:space="preserve">no special abilities;
</v>
          </cell>
          <cell r="E952" t="str">
            <v>animal</v>
          </cell>
          <cell r="F952">
            <v>3</v>
          </cell>
          <cell r="G952">
            <v>15</v>
          </cell>
          <cell r="H952">
            <v>10</v>
          </cell>
          <cell r="I952">
            <v>1</v>
          </cell>
          <cell r="J952">
            <v>12</v>
          </cell>
          <cell r="K952">
            <v>2</v>
          </cell>
          <cell r="L952" t="str">
            <v>tiny</v>
          </cell>
          <cell r="M952" t="str">
            <v>20'</v>
          </cell>
          <cell r="N952" t="str">
            <v>1/2d8</v>
          </cell>
          <cell r="O952" t="str">
            <v>+4</v>
          </cell>
          <cell r="P952" t="str">
            <v>+6</v>
          </cell>
          <cell r="Q952" t="str">
            <v>+2</v>
          </cell>
          <cell r="R952" t="str">
            <v>Bite +4 melee</v>
          </cell>
          <cell r="S952" t="str">
            <v>Bite 1d4-4</v>
          </cell>
          <cell r="T952">
            <v>14</v>
          </cell>
          <cell r="U952">
            <v>17</v>
          </cell>
          <cell r="V952" t="str">
            <v>Balance +10, Climb +12, Hide +10, Listen +3, Spot +3</v>
          </cell>
          <cell r="W952" t="str">
            <v>weapon finesse</v>
          </cell>
          <cell r="X952" t="str">
            <v>+8 racial bonus on balance and climb (dex instead of str) checks</v>
          </cell>
        </row>
        <row r="953">
          <cell r="A953" t="str">
            <v>Owl</v>
          </cell>
          <cell r="B953" t="str">
            <v>has low-light vision</v>
          </cell>
          <cell r="C953" t="str">
            <v/>
          </cell>
          <cell r="D953" t="str">
            <v xml:space="preserve">has low-light vision;
</v>
          </cell>
          <cell r="E953" t="str">
            <v>animal</v>
          </cell>
          <cell r="F953">
            <v>6</v>
          </cell>
          <cell r="G953">
            <v>17</v>
          </cell>
          <cell r="H953">
            <v>10</v>
          </cell>
          <cell r="I953">
            <v>2</v>
          </cell>
          <cell r="J953">
            <v>14</v>
          </cell>
          <cell r="K953">
            <v>4</v>
          </cell>
          <cell r="L953" t="str">
            <v>tiny</v>
          </cell>
          <cell r="M953" t="str">
            <v>10'/40' fly (avg)</v>
          </cell>
          <cell r="N953" t="str">
            <v>1d8</v>
          </cell>
          <cell r="O953" t="str">
            <v>+4</v>
          </cell>
          <cell r="P953" t="str">
            <v>+7</v>
          </cell>
          <cell r="Q953" t="str">
            <v>+3</v>
          </cell>
          <cell r="R953" t="str">
            <v>Claws +9 melee</v>
          </cell>
          <cell r="S953" t="str">
            <v>Claws 1d2-2</v>
          </cell>
          <cell r="T953">
            <v>17</v>
          </cell>
          <cell r="U953">
            <v>17</v>
          </cell>
          <cell r="V953" t="str">
            <v>Listen +14, Move Silently +20, Spot +6</v>
          </cell>
          <cell r="X953" t="str">
            <v>+8 Spot bonus in dusk and darkness</v>
          </cell>
        </row>
        <row r="954">
          <cell r="A954" t="str">
            <v>Rat</v>
          </cell>
          <cell r="B954" t="str">
            <v>no special abilities</v>
          </cell>
          <cell r="C954" t="str">
            <v/>
          </cell>
          <cell r="D954" t="str">
            <v xml:space="preserve">no special abilities;
</v>
          </cell>
          <cell r="E954" t="str">
            <v>animal</v>
          </cell>
          <cell r="F954">
            <v>2</v>
          </cell>
          <cell r="G954">
            <v>15</v>
          </cell>
          <cell r="H954">
            <v>10</v>
          </cell>
          <cell r="I954">
            <v>2</v>
          </cell>
          <cell r="J954">
            <v>12</v>
          </cell>
          <cell r="K954">
            <v>2</v>
          </cell>
          <cell r="L954" t="str">
            <v>tiny</v>
          </cell>
          <cell r="M954" t="str">
            <v>15'/15' climb</v>
          </cell>
          <cell r="N954" t="str">
            <v>1/4d8</v>
          </cell>
          <cell r="O954" t="str">
            <v>+4</v>
          </cell>
          <cell r="P954" t="str">
            <v>+6</v>
          </cell>
          <cell r="Q954" t="str">
            <v>+2</v>
          </cell>
          <cell r="R954" t="str">
            <v>Bite +8 melee</v>
          </cell>
          <cell r="S954" t="str">
            <v>Bite 1d3-4</v>
          </cell>
          <cell r="T954">
            <v>14</v>
          </cell>
          <cell r="U954">
            <v>17</v>
          </cell>
          <cell r="V954" t="str">
            <v>Balance +10, Climb +12, Hide +18, Move Silently +10</v>
          </cell>
          <cell r="W954" t="str">
            <v>scent, weapon finesse</v>
          </cell>
          <cell r="X954" t="str">
            <v>+4 racial bonus on hide/move silently checks, +8 on balance, climb (dex instead of str) and swim checks</v>
          </cell>
        </row>
        <row r="955">
          <cell r="A955" t="str">
            <v>Raven</v>
          </cell>
          <cell r="B955" t="str">
            <v>no special abilities</v>
          </cell>
          <cell r="C955" t="str">
            <v/>
          </cell>
          <cell r="D955" t="str">
            <v xml:space="preserve">no special abilities;
</v>
          </cell>
          <cell r="E955" t="str">
            <v>animal</v>
          </cell>
          <cell r="F955">
            <v>1</v>
          </cell>
          <cell r="G955">
            <v>15</v>
          </cell>
          <cell r="H955">
            <v>10</v>
          </cell>
          <cell r="I955">
            <v>2</v>
          </cell>
          <cell r="J955">
            <v>14</v>
          </cell>
          <cell r="K955">
            <v>6</v>
          </cell>
          <cell r="L955" t="str">
            <v>tiny</v>
          </cell>
          <cell r="M955" t="str">
            <v>10'/40' fly (avg)</v>
          </cell>
          <cell r="N955" t="str">
            <v>1/4d8</v>
          </cell>
          <cell r="O955" t="str">
            <v>+4</v>
          </cell>
          <cell r="P955" t="str">
            <v>+6</v>
          </cell>
          <cell r="Q955" t="str">
            <v>+3</v>
          </cell>
          <cell r="R955" t="str">
            <v>Claws +8 melee</v>
          </cell>
          <cell r="S955" t="str">
            <v>Claws 1d2-5</v>
          </cell>
          <cell r="T955">
            <v>14</v>
          </cell>
          <cell r="U955">
            <v>17</v>
          </cell>
          <cell r="V955" t="str">
            <v>Listen +6, Spot +6</v>
          </cell>
          <cell r="W955" t="str">
            <v>weapon finesse</v>
          </cell>
          <cell r="X955" t="str">
            <v>no special qualities</v>
          </cell>
        </row>
        <row r="956">
          <cell r="A956" t="str">
            <v>Snake</v>
          </cell>
          <cell r="B956" t="str">
            <v>poisonous bite</v>
          </cell>
          <cell r="C956" t="str">
            <v/>
          </cell>
          <cell r="D956" t="str">
            <v xml:space="preserve">poisonous bite;
</v>
          </cell>
          <cell r="E956" t="str">
            <v>animal</v>
          </cell>
          <cell r="F956">
            <v>6</v>
          </cell>
          <cell r="G956">
            <v>17</v>
          </cell>
          <cell r="H956">
            <v>11</v>
          </cell>
          <cell r="I956">
            <v>1</v>
          </cell>
          <cell r="J956">
            <v>12</v>
          </cell>
          <cell r="K956">
            <v>2</v>
          </cell>
          <cell r="L956" t="str">
            <v>tiny</v>
          </cell>
          <cell r="M956" t="str">
            <v>15' (+climb/swim)</v>
          </cell>
          <cell r="N956" t="str">
            <v>1/4d8</v>
          </cell>
          <cell r="O956" t="str">
            <v>+4</v>
          </cell>
          <cell r="P956" t="str">
            <v>+7</v>
          </cell>
          <cell r="Q956" t="str">
            <v>+2</v>
          </cell>
          <cell r="R956" t="str">
            <v>Bite +9 melee</v>
          </cell>
          <cell r="S956" t="str">
            <v>Bite 0 + poison</v>
          </cell>
          <cell r="T956">
            <v>17</v>
          </cell>
          <cell r="U956">
            <v>17</v>
          </cell>
          <cell r="V956" t="str">
            <v>Balance +11, Climb +12, Hide +18, Listen +8, Spot +8</v>
          </cell>
          <cell r="X956" t="str">
            <v>poison (ex): Fortitude save (DC11); initial and secondary damage 1d6 temporary Constitution</v>
          </cell>
        </row>
        <row r="957">
          <cell r="A957" t="str">
            <v>Toad</v>
          </cell>
          <cell r="B957" t="str">
            <v>no special abilities</v>
          </cell>
          <cell r="C957" t="str">
            <v/>
          </cell>
          <cell r="D957" t="str">
            <v xml:space="preserve">no special abilities;
</v>
          </cell>
          <cell r="E957" t="str">
            <v>animal</v>
          </cell>
          <cell r="F957">
            <v>1</v>
          </cell>
          <cell r="G957">
            <v>12</v>
          </cell>
          <cell r="H957">
            <v>11</v>
          </cell>
          <cell r="I957">
            <v>1</v>
          </cell>
          <cell r="J957">
            <v>14</v>
          </cell>
          <cell r="K957">
            <v>4</v>
          </cell>
          <cell r="L957" t="str">
            <v>dimin.</v>
          </cell>
          <cell r="M957" t="str">
            <v>5'</v>
          </cell>
          <cell r="N957" t="str">
            <v>1/4d8</v>
          </cell>
          <cell r="O957" t="str">
            <v>+4</v>
          </cell>
          <cell r="P957" t="str">
            <v>+5</v>
          </cell>
          <cell r="Q957" t="str">
            <v>+3</v>
          </cell>
          <cell r="R957" t="str">
            <v>--</v>
          </cell>
          <cell r="S957" t="str">
            <v>--</v>
          </cell>
          <cell r="T957">
            <v>15</v>
          </cell>
          <cell r="U957">
            <v>17</v>
          </cell>
          <cell r="V957" t="str">
            <v>Hide +21, Listen +5, Spot +5</v>
          </cell>
          <cell r="X957" t="str">
            <v>no special qualities</v>
          </cell>
        </row>
        <row r="958">
          <cell r="A958" t="str">
            <v>Weasel</v>
          </cell>
          <cell r="B958" t="str">
            <v>no special abilities</v>
          </cell>
          <cell r="C958" t="str">
            <v/>
          </cell>
          <cell r="D958" t="str">
            <v xml:space="preserve">no special abilities;
</v>
          </cell>
          <cell r="E958" t="str">
            <v>animal</v>
          </cell>
          <cell r="F958">
            <v>3</v>
          </cell>
          <cell r="G958">
            <v>15</v>
          </cell>
          <cell r="H958">
            <v>10</v>
          </cell>
          <cell r="I958">
            <v>2</v>
          </cell>
          <cell r="J958">
            <v>12</v>
          </cell>
          <cell r="K958">
            <v>5</v>
          </cell>
          <cell r="L958" t="str">
            <v>tiny</v>
          </cell>
          <cell r="M958" t="str">
            <v>20'/20' climb</v>
          </cell>
          <cell r="N958" t="str">
            <v>1/2d8</v>
          </cell>
          <cell r="O958" t="str">
            <v>+4</v>
          </cell>
          <cell r="P958" t="str">
            <v>+6</v>
          </cell>
          <cell r="Q958" t="str">
            <v>+2</v>
          </cell>
          <cell r="R958" t="str">
            <v>Bite +8 melee</v>
          </cell>
          <cell r="S958" t="str">
            <v>Bite 1d3-4</v>
          </cell>
          <cell r="T958">
            <v>14</v>
          </cell>
          <cell r="U958">
            <v>17</v>
          </cell>
          <cell r="V958" t="str">
            <v>Balance +10, Climb +11, Hide +13, Move Silently +9, Spot +4</v>
          </cell>
          <cell r="W958" t="str">
            <v>scent, weapon finesse</v>
          </cell>
          <cell r="X958" t="str">
            <v>attach (ex): latch onto opponent after a successful bite and automatically inflict damage each round</v>
          </cell>
        </row>
        <row r="959">
          <cell r="A959" t="str">
            <v>--Improved Familiars--</v>
          </cell>
        </row>
        <row r="960">
          <cell r="A960" t="str">
            <v>Formorian Worker</v>
          </cell>
          <cell r="B960" t="str">
            <v>no special abilities</v>
          </cell>
          <cell r="C960" t="str">
            <v/>
          </cell>
          <cell r="D960" t="str">
            <v xml:space="preserve">no special abilities;
</v>
          </cell>
          <cell r="E960" t="str">
            <v>outsider</v>
          </cell>
          <cell r="F960">
            <v>13</v>
          </cell>
          <cell r="G960">
            <v>14</v>
          </cell>
          <cell r="H960">
            <v>13</v>
          </cell>
          <cell r="I960">
            <v>6</v>
          </cell>
          <cell r="J960">
            <v>10</v>
          </cell>
          <cell r="K960">
            <v>9</v>
          </cell>
          <cell r="L960" t="str">
            <v>small</v>
          </cell>
          <cell r="M960" t="str">
            <v>40'</v>
          </cell>
          <cell r="N960" t="str">
            <v>1d8+1</v>
          </cell>
          <cell r="O960" t="str">
            <v>+5</v>
          </cell>
          <cell r="P960" t="str">
            <v>+6</v>
          </cell>
          <cell r="Q960" t="str">
            <v>+2</v>
          </cell>
          <cell r="R960" t="str">
            <v>Bite +5 melee</v>
          </cell>
          <cell r="S960" t="str">
            <v>Bite 1d4+1</v>
          </cell>
          <cell r="T960">
            <v>17</v>
          </cell>
          <cell r="U960">
            <v>17</v>
          </cell>
          <cell r="V960" t="str">
            <v>Craft (any one) +3, Climb +3</v>
          </cell>
          <cell r="W960" t="str">
            <v>skill focus (craft)</v>
          </cell>
          <cell r="X960" t="str">
            <v>immune to poison, petrification and cold; fire, electricity and sonic resistance 20</v>
          </cell>
        </row>
        <row r="961">
          <cell r="A961" t="str">
            <v>Imp</v>
          </cell>
          <cell r="B961" t="str">
            <v>no special abilities</v>
          </cell>
          <cell r="C961" t="str">
            <v/>
          </cell>
          <cell r="D961" t="str">
            <v xml:space="preserve">no special abilities;
</v>
          </cell>
          <cell r="E961" t="str">
            <v>outsider</v>
          </cell>
          <cell r="F961">
            <v>10</v>
          </cell>
          <cell r="G961">
            <v>17</v>
          </cell>
          <cell r="H961">
            <v>10</v>
          </cell>
          <cell r="I961">
            <v>10</v>
          </cell>
          <cell r="J961">
            <v>12</v>
          </cell>
          <cell r="K961">
            <v>10</v>
          </cell>
          <cell r="L961" t="str">
            <v>tiny</v>
          </cell>
          <cell r="M961" t="str">
            <v>20'/50' fly (perf)</v>
          </cell>
          <cell r="N961" t="str">
            <v>3d8</v>
          </cell>
          <cell r="O961" t="str">
            <v>+4</v>
          </cell>
          <cell r="P961" t="str">
            <v>+7</v>
          </cell>
          <cell r="Q961" t="str">
            <v>+4</v>
          </cell>
          <cell r="R961" t="str">
            <v>Sting +9 melee</v>
          </cell>
          <cell r="S961" t="str">
            <v>Sting 1d4+poison</v>
          </cell>
          <cell r="T961">
            <v>18</v>
          </cell>
          <cell r="U961">
            <v>17</v>
          </cell>
          <cell r="V961" t="str">
            <v>Hide +15, Listen +5, Move Silently +5, Search +5, Spellcraft+5, Spot +5</v>
          </cell>
          <cell r="W961" t="str">
            <v>dodge, weapon finesse</v>
          </cell>
          <cell r="X961" t="str">
            <v>dr 5/silver; SR5; poison immunity; fire resist 20; regen 2; sla: det. good, det. poison, invis. (at will), suggestion (1/day); poison (ex): DC13 Fort, 1d4/2d4 temp Dex</v>
          </cell>
        </row>
        <row r="962">
          <cell r="A962" t="str">
            <v>Pseudodragon</v>
          </cell>
          <cell r="B962" t="str">
            <v>no special abilities</v>
          </cell>
          <cell r="C962" t="str">
            <v/>
          </cell>
          <cell r="D962" t="str">
            <v xml:space="preserve">no special abilities;
</v>
          </cell>
          <cell r="E962" t="str">
            <v>dragon</v>
          </cell>
          <cell r="F962">
            <v>11</v>
          </cell>
          <cell r="G962">
            <v>11</v>
          </cell>
          <cell r="H962">
            <v>13</v>
          </cell>
          <cell r="I962">
            <v>10</v>
          </cell>
          <cell r="J962">
            <v>12</v>
          </cell>
          <cell r="K962">
            <v>10</v>
          </cell>
          <cell r="L962" t="str">
            <v>tiny</v>
          </cell>
          <cell r="M962" t="str">
            <v>15'/60' fly (good)</v>
          </cell>
          <cell r="N962" t="str">
            <v>2d12+2</v>
          </cell>
          <cell r="O962" t="str">
            <v>+5</v>
          </cell>
          <cell r="P962" t="str">
            <v>+4</v>
          </cell>
          <cell r="Q962" t="str">
            <v>+4</v>
          </cell>
          <cell r="R962" t="str">
            <v>Sting +6 melee; bite +1 melee</v>
          </cell>
          <cell r="S962" t="str">
            <v>Sting 1d3+poison; bite 1</v>
          </cell>
          <cell r="T962">
            <v>18</v>
          </cell>
          <cell r="U962">
            <v>17</v>
          </cell>
          <cell r="V962" t="str">
            <v>Hide +16, Intuit Direction +3, Listen +5, Search +2, Spot +5</v>
          </cell>
          <cell r="W962" t="str">
            <v>alertness</v>
          </cell>
          <cell r="X962" t="str">
            <v>SR19; immune to sleep and paralysis, see invisibility 60'; poison (ex): Fortitude save (DC12): sleep for 1 minute/sleep for 1d3 days</v>
          </cell>
        </row>
        <row r="963">
          <cell r="A963" t="str">
            <v>Quasit</v>
          </cell>
          <cell r="B963" t="str">
            <v>no special abilities</v>
          </cell>
          <cell r="C963" t="str">
            <v/>
          </cell>
          <cell r="D963" t="str">
            <v xml:space="preserve">no special abilities;
</v>
          </cell>
          <cell r="E963" t="str">
            <v>outsider</v>
          </cell>
          <cell r="F963">
            <v>8</v>
          </cell>
          <cell r="G963">
            <v>17</v>
          </cell>
          <cell r="H963">
            <v>10</v>
          </cell>
          <cell r="I963">
            <v>10</v>
          </cell>
          <cell r="J963">
            <v>12</v>
          </cell>
          <cell r="K963">
            <v>10</v>
          </cell>
          <cell r="L963" t="str">
            <v>tiny</v>
          </cell>
          <cell r="M963" t="str">
            <v>20/50' fly (perf)</v>
          </cell>
          <cell r="N963" t="str">
            <v>3d8</v>
          </cell>
          <cell r="O963" t="str">
            <v>+4</v>
          </cell>
          <cell r="P963" t="str">
            <v>+7</v>
          </cell>
          <cell r="Q963" t="str">
            <v>+4</v>
          </cell>
          <cell r="R963" t="str">
            <v>2 claws +9 melee; bite +4 melee</v>
          </cell>
          <cell r="S963" t="str">
            <v>Claws 1d3-1+poison; bite 1d4-1</v>
          </cell>
          <cell r="T963">
            <v>18</v>
          </cell>
          <cell r="U963">
            <v>17</v>
          </cell>
          <cell r="V963" t="str">
            <v>Hide +14, Listen +6, Move Silently +6, Search +4, Spellcraft +4, Spot +6</v>
          </cell>
          <cell r="W963" t="str">
            <v>weapon finesse</v>
          </cell>
          <cell r="X963" t="str">
            <v>dr 5/silver; SR5; poison immunity; fire resist 20; regen 2; sla (sp): det good, det magic, invis (at will), cause fear (1/day); poison (ex): DC13 Fort save, 1d4/2d4 temp Dex</v>
          </cell>
        </row>
        <row r="964">
          <cell r="A964" t="str">
            <v>Shocker Lizard</v>
          </cell>
          <cell r="B964" t="str">
            <v>no special abilities</v>
          </cell>
          <cell r="C964" t="str">
            <v/>
          </cell>
          <cell r="D964" t="str">
            <v xml:space="preserve">no special abilities;
</v>
          </cell>
          <cell r="E964" t="str">
            <v>magical beast</v>
          </cell>
          <cell r="F964">
            <v>10</v>
          </cell>
          <cell r="G964">
            <v>15</v>
          </cell>
          <cell r="H964">
            <v>13</v>
          </cell>
          <cell r="I964">
            <v>5</v>
          </cell>
          <cell r="J964">
            <v>12</v>
          </cell>
          <cell r="K964">
            <v>6</v>
          </cell>
          <cell r="L964" t="str">
            <v>small</v>
          </cell>
          <cell r="M964" t="str">
            <v>40'/20' clmb,swm</v>
          </cell>
          <cell r="N964" t="str">
            <v>2d10+2</v>
          </cell>
          <cell r="O964" t="str">
            <v>+5</v>
          </cell>
          <cell r="P964" t="str">
            <v>+6</v>
          </cell>
          <cell r="Q964" t="str">
            <v>+2</v>
          </cell>
          <cell r="R964" t="str">
            <v>Bite +5 melee</v>
          </cell>
          <cell r="S964" t="str">
            <v>Bite 1d4</v>
          </cell>
          <cell r="T964">
            <v>16</v>
          </cell>
          <cell r="U964">
            <v>17</v>
          </cell>
          <cell r="V964" t="str">
            <v>Climb +12, Hide +11, Jump +4, Listen +4, Spot +4</v>
          </cell>
          <cell r="W964" t="str">
            <v>alertness</v>
          </cell>
          <cell r="X964" t="str">
            <v>electrical immunity; electricity sense (ex): detect electricity within 100'; stunning shock (su): 5' range, 2d8 damage (DC12 Reflex half)</v>
          </cell>
        </row>
        <row r="965">
          <cell r="A965" t="str">
            <v>Stirge</v>
          </cell>
          <cell r="B965" t="str">
            <v>no special abilities</v>
          </cell>
          <cell r="C965" t="str">
            <v/>
          </cell>
          <cell r="D965" t="str">
            <v xml:space="preserve">no special abilities;
</v>
          </cell>
          <cell r="E965" t="str">
            <v>beast</v>
          </cell>
          <cell r="F965">
            <v>3</v>
          </cell>
          <cell r="G965">
            <v>19</v>
          </cell>
          <cell r="H965">
            <v>10</v>
          </cell>
          <cell r="I965">
            <v>1</v>
          </cell>
          <cell r="J965">
            <v>12</v>
          </cell>
          <cell r="K965">
            <v>6</v>
          </cell>
          <cell r="L965" t="str">
            <v>tiny</v>
          </cell>
          <cell r="M965" t="str">
            <v>10'/40' fly (avg)</v>
          </cell>
          <cell r="N965" t="str">
            <v>1d10</v>
          </cell>
          <cell r="O965" t="str">
            <v>+4</v>
          </cell>
          <cell r="P965" t="str">
            <v>+8</v>
          </cell>
          <cell r="Q965" t="str">
            <v>+2</v>
          </cell>
          <cell r="R965" t="str">
            <v>Touch +10</v>
          </cell>
          <cell r="S965" t="str">
            <v>Touch 1d3-4</v>
          </cell>
          <cell r="T965">
            <v>16</v>
          </cell>
          <cell r="U965">
            <v>17</v>
          </cell>
          <cell r="V965" t="str">
            <v>Hide +14</v>
          </cell>
          <cell r="W965" t="str">
            <v>weapon finesse (touch);  attach (ex): latch onto opponent after a successful touch attack;
blood drain (ex): inflict 1d4 temporary Constitution damage per round attached until 4 points are drained</v>
          </cell>
        </row>
        <row r="966">
          <cell r="A966" t="str">
            <v>-- Custom Familiars --</v>
          </cell>
        </row>
        <row r="967">
          <cell r="A967" t="str">
            <v>-- Special Mounts --</v>
          </cell>
          <cell r="C967">
            <v>0</v>
          </cell>
          <cell r="D967" t="str">
            <v>&lt;=======</v>
          </cell>
          <cell r="E967" t="str">
            <v>Paladin Mount Level</v>
          </cell>
        </row>
        <row r="968">
          <cell r="A968" t="str">
            <v>none selected</v>
          </cell>
          <cell r="B968" t="str">
            <v/>
          </cell>
          <cell r="C968" t="str">
            <v/>
          </cell>
          <cell r="D968" t="str">
            <v/>
          </cell>
          <cell r="E968" t="str">
            <v/>
          </cell>
          <cell r="F968" t="str">
            <v/>
          </cell>
          <cell r="G968" t="str">
            <v/>
          </cell>
          <cell r="H968" t="str">
            <v/>
          </cell>
          <cell r="I968" t="str">
            <v/>
          </cell>
          <cell r="J968" t="str">
            <v/>
          </cell>
          <cell r="K968" t="str">
            <v/>
          </cell>
          <cell r="L968" t="str">
            <v/>
          </cell>
          <cell r="M968" t="str">
            <v/>
          </cell>
          <cell r="N968" t="str">
            <v/>
          </cell>
          <cell r="O968" t="str">
            <v/>
          </cell>
          <cell r="P968" t="str">
            <v/>
          </cell>
          <cell r="Q968" t="str">
            <v/>
          </cell>
          <cell r="R968" t="str">
            <v/>
          </cell>
          <cell r="S968" t="str">
            <v/>
          </cell>
          <cell r="T968" t="str">
            <v/>
          </cell>
          <cell r="U968" t="str">
            <v/>
          </cell>
          <cell r="V968" t="str">
            <v/>
          </cell>
          <cell r="W968" t="str">
            <v/>
          </cell>
          <cell r="X968" t="str">
            <v/>
          </cell>
          <cell r="Y968" t="str">
            <v/>
          </cell>
        </row>
        <row r="969">
          <cell r="A969" t="str">
            <v>Light Warhorse</v>
          </cell>
          <cell r="B969">
            <v>3</v>
          </cell>
          <cell r="C969">
            <v>0</v>
          </cell>
          <cell r="D969" t="str">
            <v>no special abilities</v>
          </cell>
          <cell r="E969" t="str">
            <v>animal</v>
          </cell>
          <cell r="F969">
            <v>16</v>
          </cell>
          <cell r="G969">
            <v>13</v>
          </cell>
          <cell r="H969">
            <v>17</v>
          </cell>
          <cell r="I969">
            <v>2</v>
          </cell>
          <cell r="J969">
            <v>13</v>
          </cell>
          <cell r="K969">
            <v>6</v>
          </cell>
          <cell r="L969" t="str">
            <v>large</v>
          </cell>
          <cell r="M969">
            <v>60</v>
          </cell>
          <cell r="N969" t="str">
            <v>3d8+9</v>
          </cell>
          <cell r="O969" t="str">
            <v>+7</v>
          </cell>
          <cell r="P969" t="str">
            <v>+5</v>
          </cell>
          <cell r="Q969" t="str">
            <v>+2</v>
          </cell>
          <cell r="R969" t="str">
            <v>2 hooves +4 ; bite -1</v>
          </cell>
          <cell r="S969" t="str">
            <v>hoof 1d4+3; bite 1d3+1</v>
          </cell>
          <cell r="T969">
            <v>14</v>
          </cell>
          <cell r="U969">
            <v>22</v>
          </cell>
          <cell r="V969" t="str">
            <v>Listen +7, Spot +7</v>
          </cell>
          <cell r="W969" t="str">
            <v>endurance, run</v>
          </cell>
          <cell r="X969" t="str">
            <v>see above</v>
          </cell>
        </row>
        <row r="970">
          <cell r="A970" t="str">
            <v>Heavy Warhorse</v>
          </cell>
          <cell r="B970">
            <v>4</v>
          </cell>
          <cell r="C970">
            <v>0</v>
          </cell>
          <cell r="D970" t="str">
            <v>no special abilities</v>
          </cell>
          <cell r="E970" t="str">
            <v>animal</v>
          </cell>
          <cell r="F970">
            <v>18</v>
          </cell>
          <cell r="G970">
            <v>13</v>
          </cell>
          <cell r="H970">
            <v>17</v>
          </cell>
          <cell r="I970">
            <v>2</v>
          </cell>
          <cell r="J970">
            <v>13</v>
          </cell>
          <cell r="K970">
            <v>6</v>
          </cell>
          <cell r="L970" t="str">
            <v>large</v>
          </cell>
          <cell r="M970">
            <v>50</v>
          </cell>
          <cell r="N970" t="str">
            <v>4d8+12</v>
          </cell>
          <cell r="O970" t="str">
            <v>+7</v>
          </cell>
          <cell r="P970" t="str">
            <v>+5</v>
          </cell>
          <cell r="Q970" t="str">
            <v>+2</v>
          </cell>
          <cell r="R970" t="str">
            <v>2 hooves +6; bite +1</v>
          </cell>
          <cell r="S970" t="str">
            <v>hoof 1d6+4; bite 1d4+2</v>
          </cell>
          <cell r="T970">
            <v>14</v>
          </cell>
          <cell r="U970">
            <v>30</v>
          </cell>
          <cell r="V970" t="str">
            <v>Listen +7, Spot +7</v>
          </cell>
          <cell r="W970" t="str">
            <v>endurance, run</v>
          </cell>
          <cell r="X970" t="str">
            <v>see above</v>
          </cell>
        </row>
        <row r="971">
          <cell r="A971" t="str">
            <v>Warpont</v>
          </cell>
          <cell r="B971">
            <v>2</v>
          </cell>
          <cell r="C971">
            <v>0</v>
          </cell>
          <cell r="D971" t="str">
            <v>no special abilities</v>
          </cell>
          <cell r="E971" t="str">
            <v>animal</v>
          </cell>
          <cell r="F971">
            <v>15</v>
          </cell>
          <cell r="G971">
            <v>13</v>
          </cell>
          <cell r="H971">
            <v>14</v>
          </cell>
          <cell r="I971">
            <v>2</v>
          </cell>
          <cell r="J971">
            <v>11</v>
          </cell>
          <cell r="K971">
            <v>4</v>
          </cell>
          <cell r="L971" t="str">
            <v>medium</v>
          </cell>
          <cell r="M971">
            <v>40</v>
          </cell>
          <cell r="N971" t="str">
            <v>2d8+4</v>
          </cell>
          <cell r="O971" t="str">
            <v>+6</v>
          </cell>
          <cell r="P971" t="str">
            <v>+5</v>
          </cell>
          <cell r="Q971" t="str">
            <v>+1</v>
          </cell>
          <cell r="R971" t="str">
            <v>2 hooves +3 melee</v>
          </cell>
          <cell r="S971" t="str">
            <v>hoof 1d3+2</v>
          </cell>
          <cell r="T971">
            <v>13</v>
          </cell>
          <cell r="U971">
            <v>13</v>
          </cell>
          <cell r="V971" t="str">
            <v>Listen +5, Spot +5</v>
          </cell>
          <cell r="W971" t="str">
            <v>endurance</v>
          </cell>
          <cell r="X971" t="str">
            <v>see above</v>
          </cell>
        </row>
        <row r="972">
          <cell r="A972" t="str">
            <v>Riding Dog</v>
          </cell>
          <cell r="B972">
            <v>2</v>
          </cell>
          <cell r="C972">
            <v>0</v>
          </cell>
          <cell r="D972" t="str">
            <v>no special abilities</v>
          </cell>
          <cell r="E972" t="str">
            <v>animal</v>
          </cell>
          <cell r="F972">
            <v>15</v>
          </cell>
          <cell r="G972">
            <v>15</v>
          </cell>
          <cell r="H972">
            <v>15</v>
          </cell>
          <cell r="I972">
            <v>2</v>
          </cell>
          <cell r="J972">
            <v>12</v>
          </cell>
          <cell r="K972">
            <v>6</v>
          </cell>
          <cell r="L972" t="str">
            <v>medium</v>
          </cell>
          <cell r="M972">
            <v>40</v>
          </cell>
          <cell r="N972" t="str">
            <v>2d8+4</v>
          </cell>
          <cell r="O972" t="str">
            <v>+6</v>
          </cell>
          <cell r="P972" t="str">
            <v>+6</v>
          </cell>
          <cell r="Q972" t="str">
            <v>+2</v>
          </cell>
          <cell r="R972" t="str">
            <v>bite +3</v>
          </cell>
          <cell r="S972" t="str">
            <v>bite 1d6+3</v>
          </cell>
          <cell r="T972">
            <v>16</v>
          </cell>
          <cell r="U972">
            <v>13</v>
          </cell>
          <cell r="V972" t="str">
            <v>Jump +8, Listen +5, Spot +5, Swim +3, Survival +1</v>
          </cell>
          <cell r="W972" t="str">
            <v>scent, track</v>
          </cell>
          <cell r="X972" t="str">
            <v>see above</v>
          </cell>
        </row>
        <row r="973">
          <cell r="A973" t="str">
            <v>-- Custom Special Mounts --</v>
          </cell>
        </row>
        <row r="974">
          <cell r="A974" t="str">
            <v>-- Mundane Mounts --</v>
          </cell>
        </row>
        <row r="975">
          <cell r="A975" t="str">
            <v>Light Horse</v>
          </cell>
          <cell r="B975">
            <v>3</v>
          </cell>
          <cell r="D975" t="str">
            <v>no special abilities</v>
          </cell>
          <cell r="E975" t="str">
            <v>animal</v>
          </cell>
          <cell r="F975">
            <v>14</v>
          </cell>
          <cell r="G975">
            <v>13</v>
          </cell>
          <cell r="H975">
            <v>15</v>
          </cell>
          <cell r="I975">
            <v>2</v>
          </cell>
          <cell r="J975">
            <v>12</v>
          </cell>
          <cell r="K975">
            <v>6</v>
          </cell>
          <cell r="L975" t="str">
            <v>large</v>
          </cell>
          <cell r="M975" t="str">
            <v>60'</v>
          </cell>
          <cell r="N975" t="str">
            <v>3d8+6</v>
          </cell>
          <cell r="O975" t="str">
            <v>+5</v>
          </cell>
          <cell r="P975" t="str">
            <v>+4</v>
          </cell>
          <cell r="Q975" t="str">
            <v>+2</v>
          </cell>
          <cell r="R975" t="str">
            <v>Hoof -2 melee</v>
          </cell>
          <cell r="S975" t="str">
            <v>Hoof 1d4+1</v>
          </cell>
          <cell r="T975">
            <v>13</v>
          </cell>
          <cell r="U975">
            <v>19</v>
          </cell>
          <cell r="V975" t="str">
            <v>Listen +4, Spot +4</v>
          </cell>
          <cell r="W975" t="str">
            <v>endurance, run</v>
          </cell>
          <cell r="X975" t="str">
            <v>see above</v>
          </cell>
        </row>
        <row r="976">
          <cell r="A976" t="str">
            <v>Heavy Horse</v>
          </cell>
          <cell r="B976">
            <v>3</v>
          </cell>
          <cell r="D976" t="str">
            <v>no special abilities</v>
          </cell>
          <cell r="E976" t="str">
            <v>animal</v>
          </cell>
          <cell r="F976">
            <v>16</v>
          </cell>
          <cell r="G976">
            <v>13</v>
          </cell>
          <cell r="H976">
            <v>15</v>
          </cell>
          <cell r="I976">
            <v>2</v>
          </cell>
          <cell r="J976">
            <v>12</v>
          </cell>
          <cell r="K976">
            <v>6</v>
          </cell>
          <cell r="L976" t="str">
            <v>large</v>
          </cell>
          <cell r="M976" t="str">
            <v>50'</v>
          </cell>
          <cell r="N976" t="str">
            <v>3d8+6</v>
          </cell>
          <cell r="O976" t="str">
            <v>+5</v>
          </cell>
          <cell r="P976" t="str">
            <v>+4</v>
          </cell>
          <cell r="Q976" t="str">
            <v>+2</v>
          </cell>
          <cell r="R976" t="str">
            <v>Hoof -1 melee</v>
          </cell>
          <cell r="S976" t="str">
            <v>Hoof 1d6+1</v>
          </cell>
          <cell r="T976">
            <v>13</v>
          </cell>
          <cell r="U976">
            <v>19</v>
          </cell>
          <cell r="V976" t="str">
            <v>Listen +4, Spot +4</v>
          </cell>
          <cell r="W976" t="str">
            <v>endurance, run</v>
          </cell>
          <cell r="X976" t="str">
            <v>see above</v>
          </cell>
        </row>
        <row r="977">
          <cell r="A977" t="str">
            <v>Pony</v>
          </cell>
          <cell r="B977">
            <v>2</v>
          </cell>
          <cell r="D977" t="str">
            <v>no special abilities</v>
          </cell>
          <cell r="E977" t="str">
            <v>animal</v>
          </cell>
          <cell r="F977">
            <v>13</v>
          </cell>
          <cell r="G977">
            <v>13</v>
          </cell>
          <cell r="H977">
            <v>12</v>
          </cell>
          <cell r="I977">
            <v>2</v>
          </cell>
          <cell r="J977">
            <v>11</v>
          </cell>
          <cell r="K977">
            <v>4</v>
          </cell>
          <cell r="L977" t="str">
            <v>medium</v>
          </cell>
          <cell r="M977" t="str">
            <v>40'</v>
          </cell>
          <cell r="N977" t="str">
            <v>2d8+2</v>
          </cell>
          <cell r="O977" t="str">
            <v>+4</v>
          </cell>
          <cell r="P977" t="str">
            <v>+4</v>
          </cell>
          <cell r="Q977" t="str">
            <v>+0</v>
          </cell>
          <cell r="R977" t="str">
            <v>Hoof -3 melee</v>
          </cell>
          <cell r="S977" t="str">
            <v>Hoof 1d3</v>
          </cell>
          <cell r="T977">
            <v>13</v>
          </cell>
          <cell r="U977">
            <v>11</v>
          </cell>
          <cell r="V977" t="str">
            <v>Listen +5, Spot +5</v>
          </cell>
          <cell r="W977" t="str">
            <v>endurance</v>
          </cell>
          <cell r="X977" t="str">
            <v>see above</v>
          </cell>
        </row>
        <row r="978">
          <cell r="A978" t="str">
            <v>Mule</v>
          </cell>
          <cell r="B978">
            <v>3</v>
          </cell>
          <cell r="D978" t="str">
            <v>no special abilities</v>
          </cell>
          <cell r="E978" t="str">
            <v>animal</v>
          </cell>
          <cell r="F978">
            <v>16</v>
          </cell>
          <cell r="G978">
            <v>13</v>
          </cell>
          <cell r="H978">
            <v>17</v>
          </cell>
          <cell r="I978">
            <v>2</v>
          </cell>
          <cell r="J978">
            <v>11</v>
          </cell>
          <cell r="K978">
            <v>6</v>
          </cell>
          <cell r="L978" t="str">
            <v>large</v>
          </cell>
          <cell r="M978" t="str">
            <v>30'</v>
          </cell>
          <cell r="N978" t="str">
            <v>3d8+9</v>
          </cell>
          <cell r="O978" t="str">
            <v>+6</v>
          </cell>
          <cell r="P978" t="str">
            <v>+4</v>
          </cell>
          <cell r="Q978" t="str">
            <v>+1</v>
          </cell>
          <cell r="R978" t="str">
            <v>Hoof +4 melee</v>
          </cell>
          <cell r="S978" t="str">
            <v>Hoof 1d4+3</v>
          </cell>
          <cell r="T978">
            <v>13</v>
          </cell>
          <cell r="U978">
            <v>22</v>
          </cell>
          <cell r="V978" t="str">
            <v>Listen +6, Spot +6</v>
          </cell>
          <cell r="W978" t="str">
            <v>alertness, endurance</v>
          </cell>
          <cell r="X978" t="str">
            <v>see above</v>
          </cell>
        </row>
        <row r="979">
          <cell r="A979" t="str">
            <v>Donkey</v>
          </cell>
          <cell r="B979">
            <v>2</v>
          </cell>
          <cell r="D979" t="str">
            <v>no special abilities</v>
          </cell>
          <cell r="E979" t="str">
            <v>animal</v>
          </cell>
          <cell r="F979">
            <v>10</v>
          </cell>
          <cell r="G979">
            <v>13</v>
          </cell>
          <cell r="H979">
            <v>12</v>
          </cell>
          <cell r="I979">
            <v>2</v>
          </cell>
          <cell r="J979">
            <v>11</v>
          </cell>
          <cell r="K979">
            <v>6</v>
          </cell>
          <cell r="L979" t="str">
            <v>medium</v>
          </cell>
          <cell r="M979" t="str">
            <v>30'</v>
          </cell>
          <cell r="N979" t="str">
            <v>2d8+2</v>
          </cell>
          <cell r="O979" t="str">
            <v>+4</v>
          </cell>
          <cell r="P979" t="str">
            <v>+4</v>
          </cell>
          <cell r="Q979" t="str">
            <v>+0</v>
          </cell>
          <cell r="R979" t="str">
            <v xml:space="preserve">Bite +1 melee </v>
          </cell>
          <cell r="S979" t="str">
            <v>Bite 1d2</v>
          </cell>
          <cell r="T979">
            <v>13</v>
          </cell>
          <cell r="U979">
            <v>11</v>
          </cell>
          <cell r="V979" t="str">
            <v>Balance +3, Listen +3, Spot +2</v>
          </cell>
          <cell r="W979" t="str">
            <v>endurance</v>
          </cell>
          <cell r="X979" t="str">
            <v>see above</v>
          </cell>
        </row>
        <row r="980">
          <cell r="A980" t="str">
            <v>-- Custom Mundane Mounts --</v>
          </cell>
        </row>
        <row r="981">
          <cell r="A981" t="str">
            <v>-- Animal Companions --</v>
          </cell>
          <cell r="C981">
            <v>0</v>
          </cell>
          <cell r="D981" t="str">
            <v>&lt;=======</v>
          </cell>
          <cell r="E981" t="str">
            <v>Animal Companion Level</v>
          </cell>
        </row>
        <row r="982">
          <cell r="A982" t="str">
            <v>none selected</v>
          </cell>
          <cell r="B982" t="str">
            <v/>
          </cell>
          <cell r="C982" t="str">
            <v/>
          </cell>
          <cell r="D982" t="str">
            <v/>
          </cell>
          <cell r="E982" t="str">
            <v/>
          </cell>
          <cell r="F982" t="str">
            <v/>
          </cell>
          <cell r="G982" t="str">
            <v/>
          </cell>
          <cell r="H982" t="str">
            <v/>
          </cell>
          <cell r="I982" t="str">
            <v/>
          </cell>
          <cell r="J982" t="str">
            <v/>
          </cell>
          <cell r="K982" t="str">
            <v/>
          </cell>
          <cell r="L982" t="str">
            <v/>
          </cell>
          <cell r="M982" t="str">
            <v/>
          </cell>
          <cell r="N982" t="str">
            <v/>
          </cell>
          <cell r="O982" t="str">
            <v/>
          </cell>
          <cell r="P982" t="str">
            <v/>
          </cell>
          <cell r="Q982" t="str">
            <v/>
          </cell>
          <cell r="R982" t="str">
            <v/>
          </cell>
          <cell r="S982" t="str">
            <v/>
          </cell>
          <cell r="T982" t="str">
            <v/>
          </cell>
          <cell r="U982" t="str">
            <v/>
          </cell>
          <cell r="V982" t="str">
            <v/>
          </cell>
          <cell r="W982" t="str">
            <v/>
          </cell>
          <cell r="X982" t="str">
            <v/>
          </cell>
          <cell r="Y982" t="str">
            <v/>
          </cell>
        </row>
        <row r="983">
          <cell r="A983" t="str">
            <v>Badger</v>
          </cell>
          <cell r="B983">
            <v>1</v>
          </cell>
          <cell r="C983">
            <v>0</v>
          </cell>
          <cell r="D983" t="str">
            <v>no special abilities</v>
          </cell>
          <cell r="E983" t="str">
            <v>magical beast</v>
          </cell>
          <cell r="F983">
            <v>8</v>
          </cell>
          <cell r="G983">
            <v>17</v>
          </cell>
          <cell r="H983">
            <v>15</v>
          </cell>
          <cell r="I983">
            <v>2</v>
          </cell>
          <cell r="J983">
            <v>12</v>
          </cell>
          <cell r="K983">
            <v>6</v>
          </cell>
          <cell r="L983" t="str">
            <v>small</v>
          </cell>
          <cell r="M983" t="str">
            <v>30'</v>
          </cell>
          <cell r="N983" t="str">
            <v>1d8+0</v>
          </cell>
          <cell r="O983" t="str">
            <v>+4</v>
          </cell>
          <cell r="P983" t="str">
            <v>+5</v>
          </cell>
          <cell r="Q983" t="str">
            <v>+1</v>
          </cell>
          <cell r="R983" t="str">
            <v>2 claws +4 melee; bite -1 melee</v>
          </cell>
          <cell r="S983" t="str">
            <v>Claw 1d2-1; bite 1d3-1</v>
          </cell>
          <cell r="T983">
            <v>15</v>
          </cell>
          <cell r="U983">
            <v>6</v>
          </cell>
          <cell r="V983" t="str">
            <v>Escape Artist +7, Listen +3, Spot +3</v>
          </cell>
          <cell r="W983" t="str">
            <v>track, weapon finesse</v>
          </cell>
          <cell r="X983" t="str">
            <v>rage; +4 racial bonus to escape artist checks</v>
          </cell>
        </row>
        <row r="984">
          <cell r="A984" t="str">
            <v>Camel</v>
          </cell>
          <cell r="B984">
            <v>3</v>
          </cell>
          <cell r="C984">
            <v>0</v>
          </cell>
          <cell r="D984" t="str">
            <v>no special abilities</v>
          </cell>
          <cell r="E984" t="str">
            <v>magical beast</v>
          </cell>
          <cell r="F984">
            <v>18</v>
          </cell>
          <cell r="G984">
            <v>16</v>
          </cell>
          <cell r="H984">
            <v>14</v>
          </cell>
          <cell r="I984">
            <v>2</v>
          </cell>
          <cell r="J984">
            <v>11</v>
          </cell>
          <cell r="K984">
            <v>4</v>
          </cell>
          <cell r="L984" t="str">
            <v>small</v>
          </cell>
          <cell r="M984" t="str">
            <v>50'</v>
          </cell>
          <cell r="N984" t="str">
            <v>3d8+0</v>
          </cell>
          <cell r="O984" t="str">
            <v>+4</v>
          </cell>
          <cell r="P984" t="str">
            <v>+5</v>
          </cell>
          <cell r="Q984" t="str">
            <v>+0</v>
          </cell>
          <cell r="R984" t="str">
            <v>Bite +2 melee</v>
          </cell>
          <cell r="S984" t="str">
            <v>Bite 1d4+2</v>
          </cell>
          <cell r="T984">
            <v>13</v>
          </cell>
          <cell r="U984">
            <v>19</v>
          </cell>
          <cell r="V984" t="str">
            <v>Listen +5, Spot +5</v>
          </cell>
          <cell r="W984" t="str">
            <v>alertness, endurance</v>
          </cell>
          <cell r="X984" t="str">
            <v>no special qualities</v>
          </cell>
        </row>
        <row r="985">
          <cell r="A985" t="str">
            <v>Dire Rat</v>
          </cell>
          <cell r="B985">
            <v>1</v>
          </cell>
          <cell r="C985">
            <v>0</v>
          </cell>
          <cell r="D985" t="str">
            <v>no special abilities</v>
          </cell>
          <cell r="E985" t="str">
            <v>magical beast</v>
          </cell>
          <cell r="F985">
            <v>10</v>
          </cell>
          <cell r="G985">
            <v>17</v>
          </cell>
          <cell r="H985">
            <v>12</v>
          </cell>
          <cell r="I985">
            <v>1</v>
          </cell>
          <cell r="J985">
            <v>12</v>
          </cell>
          <cell r="K985">
            <v>4</v>
          </cell>
          <cell r="L985" t="str">
            <v>small</v>
          </cell>
          <cell r="M985" t="str">
            <v>20'</v>
          </cell>
          <cell r="N985" t="str">
            <v>1d8+0</v>
          </cell>
          <cell r="O985" t="str">
            <v>+3</v>
          </cell>
          <cell r="P985" t="str">
            <v>+5</v>
          </cell>
          <cell r="Q985" t="str">
            <v>+1</v>
          </cell>
          <cell r="R985" t="str">
            <v>Bite +4 melee</v>
          </cell>
          <cell r="S985" t="str">
            <v>bite 1d4+0 plus disease</v>
          </cell>
          <cell r="T985">
            <v>15</v>
          </cell>
          <cell r="U985">
            <v>5</v>
          </cell>
          <cell r="V985" t="str">
            <v>Climb +11, Hide +8, Listen +4, Move Silently +4, Spot +4, Swim +11</v>
          </cell>
          <cell r="W985" t="str">
            <v>weapon finesse; alertness</v>
          </cell>
          <cell r="X985" t="str">
            <v>disease; +8 racial bonus on swim and climb (dex instead of str) checks</v>
          </cell>
        </row>
        <row r="986">
          <cell r="A986" t="str">
            <v>Dog</v>
          </cell>
          <cell r="B986">
            <v>1</v>
          </cell>
          <cell r="C986">
            <v>0</v>
          </cell>
          <cell r="D986" t="str">
            <v>no special abilities</v>
          </cell>
          <cell r="E986" t="str">
            <v>magical beast</v>
          </cell>
          <cell r="F986">
            <v>13</v>
          </cell>
          <cell r="G986">
            <v>17</v>
          </cell>
          <cell r="H986">
            <v>15</v>
          </cell>
          <cell r="I986">
            <v>2</v>
          </cell>
          <cell r="J986">
            <v>12</v>
          </cell>
          <cell r="K986">
            <v>6</v>
          </cell>
          <cell r="L986" t="str">
            <v>small</v>
          </cell>
          <cell r="M986" t="str">
            <v>40'</v>
          </cell>
          <cell r="N986" t="str">
            <v>1d8+0</v>
          </cell>
          <cell r="O986" t="str">
            <v>+4</v>
          </cell>
          <cell r="P986" t="str">
            <v>+5</v>
          </cell>
          <cell r="Q986" t="str">
            <v>+1</v>
          </cell>
          <cell r="R986" t="str">
            <v>Claws +5 melee</v>
          </cell>
          <cell r="S986" t="str">
            <v>Claw 1d4+1</v>
          </cell>
          <cell r="T986">
            <v>15</v>
          </cell>
          <cell r="U986">
            <v>6</v>
          </cell>
          <cell r="V986" t="str">
            <v>Jump +7, Listen +5, Spot +5, Survival +1</v>
          </cell>
          <cell r="W986" t="str">
            <v>alertness, track</v>
          </cell>
          <cell r="X986" t="str">
            <v>+4 racial bonus on jump checks; +4 on survival checks when tracking by scent</v>
          </cell>
        </row>
        <row r="987">
          <cell r="A987" t="str">
            <v>Riding Dog</v>
          </cell>
          <cell r="B987">
            <v>2</v>
          </cell>
          <cell r="C987">
            <v>0</v>
          </cell>
          <cell r="D987" t="str">
            <v>no special abilities</v>
          </cell>
          <cell r="E987" t="str">
            <v>magical beast</v>
          </cell>
          <cell r="F987">
            <v>15</v>
          </cell>
          <cell r="G987">
            <v>15</v>
          </cell>
          <cell r="H987">
            <v>15</v>
          </cell>
          <cell r="I987">
            <v>2</v>
          </cell>
          <cell r="J987">
            <v>12</v>
          </cell>
          <cell r="K987">
            <v>6</v>
          </cell>
          <cell r="L987" t="str">
            <v>medium</v>
          </cell>
          <cell r="M987" t="str">
            <v>40'</v>
          </cell>
          <cell r="N987" t="str">
            <v>2d8+0</v>
          </cell>
          <cell r="O987" t="str">
            <v>+4</v>
          </cell>
          <cell r="P987" t="str">
            <v>+4</v>
          </cell>
          <cell r="Q987" t="str">
            <v>+1</v>
          </cell>
          <cell r="R987" t="str">
            <v>Bite +3</v>
          </cell>
          <cell r="S987" t="str">
            <v>Bite 1d6+3</v>
          </cell>
          <cell r="T987">
            <v>16</v>
          </cell>
          <cell r="U987">
            <v>13</v>
          </cell>
          <cell r="V987" t="str">
            <v>Jump +8, Listen +5, Spot +5, Swim +3, Survival +1</v>
          </cell>
          <cell r="W987" t="str">
            <v>alertness, track</v>
          </cell>
          <cell r="X987" t="str">
            <v>+4 racial bonus on jump checks; +4 on survival checks when tracking by scent</v>
          </cell>
        </row>
        <row r="988">
          <cell r="A988" t="str">
            <v>Eagle</v>
          </cell>
          <cell r="B988">
            <v>1</v>
          </cell>
          <cell r="C988">
            <v>0</v>
          </cell>
          <cell r="D988" t="str">
            <v>no special abilities</v>
          </cell>
          <cell r="E988" t="str">
            <v>magical beast</v>
          </cell>
          <cell r="F988">
            <v>10</v>
          </cell>
          <cell r="G988">
            <v>15</v>
          </cell>
          <cell r="H988">
            <v>12</v>
          </cell>
          <cell r="I988">
            <v>2</v>
          </cell>
          <cell r="J988">
            <v>14</v>
          </cell>
          <cell r="K988">
            <v>6</v>
          </cell>
          <cell r="L988" t="str">
            <v>small</v>
          </cell>
          <cell r="M988" t="str">
            <v>10'/80' fly (average)</v>
          </cell>
          <cell r="N988" t="str">
            <v>1d8+0</v>
          </cell>
          <cell r="O988" t="str">
            <v>+3</v>
          </cell>
          <cell r="P988" t="str">
            <v>+4</v>
          </cell>
          <cell r="Q988" t="str">
            <v>+2</v>
          </cell>
          <cell r="R988" t="str">
            <v>2 Talons +3 melee; bite -2 melee</v>
          </cell>
          <cell r="S988" t="str">
            <v>Talons 1d4+1; bite 1d4+0</v>
          </cell>
          <cell r="T988">
            <v>14</v>
          </cell>
          <cell r="U988">
            <v>5</v>
          </cell>
          <cell r="V988" t="str">
            <v>Listen +2, Spot +14</v>
          </cell>
          <cell r="W988" t="str">
            <v>weapon finesse</v>
          </cell>
          <cell r="X988" t="str">
            <v>+8 racial bonus on spot checks</v>
          </cell>
        </row>
        <row r="989">
          <cell r="A989" t="str">
            <v>Hawk</v>
          </cell>
          <cell r="B989">
            <v>1</v>
          </cell>
          <cell r="C989">
            <v>0</v>
          </cell>
          <cell r="D989" t="str">
            <v>no special abilities</v>
          </cell>
          <cell r="E989" t="str">
            <v>magical beast</v>
          </cell>
          <cell r="F989">
            <v>6</v>
          </cell>
          <cell r="G989">
            <v>17</v>
          </cell>
          <cell r="H989">
            <v>10</v>
          </cell>
          <cell r="I989">
            <v>2</v>
          </cell>
          <cell r="J989">
            <v>14</v>
          </cell>
          <cell r="K989">
            <v>6</v>
          </cell>
          <cell r="L989" t="str">
            <v>tiny</v>
          </cell>
          <cell r="M989" t="str">
            <v>10'/60' fly (average)</v>
          </cell>
          <cell r="N989" t="str">
            <v>1d8+0</v>
          </cell>
          <cell r="O989" t="str">
            <v>+2</v>
          </cell>
          <cell r="P989" t="str">
            <v>+5</v>
          </cell>
          <cell r="Q989" t="str">
            <v>+2</v>
          </cell>
          <cell r="R989" t="str">
            <v>2 Talons +5 melee</v>
          </cell>
          <cell r="S989" t="str">
            <v>Talons 1d4-2</v>
          </cell>
          <cell r="T989">
            <v>17</v>
          </cell>
          <cell r="U989">
            <v>4</v>
          </cell>
          <cell r="V989" t="str">
            <v>Listen +2, Spot +14</v>
          </cell>
          <cell r="W989" t="str">
            <v>weapon finesse</v>
          </cell>
          <cell r="X989" t="str">
            <v>+8 racial bonus on spot checks</v>
          </cell>
        </row>
        <row r="990">
          <cell r="A990" t="str">
            <v>Heavy Horse</v>
          </cell>
          <cell r="B990">
            <v>3</v>
          </cell>
          <cell r="C990">
            <v>0</v>
          </cell>
          <cell r="D990" t="str">
            <v>no special abilities</v>
          </cell>
          <cell r="E990" t="str">
            <v>magical beast</v>
          </cell>
          <cell r="F990">
            <v>16</v>
          </cell>
          <cell r="G990">
            <v>13</v>
          </cell>
          <cell r="H990">
            <v>15</v>
          </cell>
          <cell r="I990">
            <v>2</v>
          </cell>
          <cell r="J990">
            <v>12</v>
          </cell>
          <cell r="K990">
            <v>6</v>
          </cell>
          <cell r="L990" t="str">
            <v>large</v>
          </cell>
          <cell r="M990" t="str">
            <v>50'</v>
          </cell>
          <cell r="N990" t="str">
            <v>3d8+0</v>
          </cell>
          <cell r="O990" t="str">
            <v>+4</v>
          </cell>
          <cell r="P990" t="str">
            <v>+3</v>
          </cell>
          <cell r="Q990" t="str">
            <v>+1</v>
          </cell>
          <cell r="R990" t="str">
            <v>2 hooves -1 melee</v>
          </cell>
          <cell r="S990" t="str">
            <v>Hoof 1d6+1</v>
          </cell>
          <cell r="T990">
            <v>13</v>
          </cell>
          <cell r="U990">
            <v>19</v>
          </cell>
          <cell r="V990" t="str">
            <v>Listen +4, Spot +4</v>
          </cell>
          <cell r="W990" t="str">
            <v>endurance, run</v>
          </cell>
          <cell r="X990" t="str">
            <v>no special qualities</v>
          </cell>
        </row>
        <row r="991">
          <cell r="A991" t="str">
            <v>Light Horse</v>
          </cell>
          <cell r="B991">
            <v>3</v>
          </cell>
          <cell r="C991">
            <v>0</v>
          </cell>
          <cell r="D991" t="str">
            <v>no special abilities</v>
          </cell>
          <cell r="E991" t="str">
            <v>magical beast</v>
          </cell>
          <cell r="F991">
            <v>14</v>
          </cell>
          <cell r="G991">
            <v>13</v>
          </cell>
          <cell r="H991">
            <v>15</v>
          </cell>
          <cell r="I991">
            <v>2</v>
          </cell>
          <cell r="J991">
            <v>12</v>
          </cell>
          <cell r="K991">
            <v>6</v>
          </cell>
          <cell r="L991" t="str">
            <v>large</v>
          </cell>
          <cell r="M991" t="str">
            <v>60'</v>
          </cell>
          <cell r="N991" t="str">
            <v>3d8+0</v>
          </cell>
          <cell r="O991" t="str">
            <v>+4</v>
          </cell>
          <cell r="P991" t="str">
            <v>+3</v>
          </cell>
          <cell r="Q991" t="str">
            <v>+1</v>
          </cell>
          <cell r="R991" t="str">
            <v>2 hooves -2 melee</v>
          </cell>
          <cell r="S991" t="str">
            <v>Hoof 1d6+1</v>
          </cell>
          <cell r="T991">
            <v>13</v>
          </cell>
          <cell r="U991">
            <v>19</v>
          </cell>
          <cell r="V991" t="str">
            <v>Listen +4, Spot +4</v>
          </cell>
          <cell r="W991" t="str">
            <v>endurance, run</v>
          </cell>
          <cell r="X991" t="str">
            <v>no special qualities</v>
          </cell>
        </row>
        <row r="992">
          <cell r="A992" t="str">
            <v>Owl</v>
          </cell>
          <cell r="B992">
            <v>1</v>
          </cell>
          <cell r="C992">
            <v>0</v>
          </cell>
          <cell r="D992" t="str">
            <v>no special abilities</v>
          </cell>
          <cell r="E992" t="str">
            <v>magical beast</v>
          </cell>
          <cell r="F992">
            <v>4</v>
          </cell>
          <cell r="G992">
            <v>17</v>
          </cell>
          <cell r="H992">
            <v>10</v>
          </cell>
          <cell r="I992">
            <v>2</v>
          </cell>
          <cell r="J992">
            <v>14</v>
          </cell>
          <cell r="K992">
            <v>4</v>
          </cell>
          <cell r="L992" t="str">
            <v>tiny</v>
          </cell>
          <cell r="M992" t="str">
            <v>10'/40' fly (avg)</v>
          </cell>
          <cell r="N992" t="str">
            <v>1d8+0</v>
          </cell>
          <cell r="O992" t="str">
            <v>+2</v>
          </cell>
          <cell r="P992" t="str">
            <v>+5</v>
          </cell>
          <cell r="Q992" t="str">
            <v>+2</v>
          </cell>
          <cell r="R992" t="str">
            <v>Talons +5 melee</v>
          </cell>
          <cell r="S992" t="str">
            <v>Talons 1d4-3</v>
          </cell>
          <cell r="T992">
            <v>17</v>
          </cell>
          <cell r="U992">
            <v>4</v>
          </cell>
          <cell r="V992" t="str">
            <v>Listen +14, Move Silently +17, Spot +6</v>
          </cell>
          <cell r="W992" t="str">
            <v>weapon finesse</v>
          </cell>
          <cell r="X992" t="str">
            <v>+8 racial bonus on listen checks, +14 racial bonus on move silently checks; +8 racial bonus on spot checks in low light</v>
          </cell>
        </row>
        <row r="993">
          <cell r="A993" t="str">
            <v>Small Viper</v>
          </cell>
          <cell r="B993">
            <v>1</v>
          </cell>
          <cell r="C993">
            <v>0</v>
          </cell>
          <cell r="D993" t="str">
            <v>no special abilities</v>
          </cell>
          <cell r="E993" t="str">
            <v>magical beast</v>
          </cell>
          <cell r="F993">
            <v>6</v>
          </cell>
          <cell r="G993">
            <v>17</v>
          </cell>
          <cell r="H993">
            <v>11</v>
          </cell>
          <cell r="I993">
            <v>1</v>
          </cell>
          <cell r="J993">
            <v>12</v>
          </cell>
          <cell r="K993">
            <v>6</v>
          </cell>
          <cell r="L993" t="str">
            <v>small</v>
          </cell>
          <cell r="M993" t="str">
            <v>20'</v>
          </cell>
          <cell r="N993" t="str">
            <v>1d8+0</v>
          </cell>
          <cell r="O993" t="str">
            <v>+2</v>
          </cell>
          <cell r="P993" t="str">
            <v>+5</v>
          </cell>
          <cell r="Q993" t="str">
            <v>+1</v>
          </cell>
          <cell r="R993" t="str">
            <v>Bite +4</v>
          </cell>
          <cell r="S993" t="str">
            <v>Bite 1d2-2 plus poison</v>
          </cell>
          <cell r="T993">
            <v>17</v>
          </cell>
          <cell r="U993">
            <v>4</v>
          </cell>
          <cell r="V993" t="str">
            <v>Balance +11, Climb +11, Hide +11, Listen +7, Spot, +7, Swim +6</v>
          </cell>
          <cell r="W993" t="str">
            <v>weapon finesse</v>
          </cell>
          <cell r="X993" t="str">
            <v>poison (ex): Fortitude save (DC10); initial and secondary damage 1d6 temporary Constitution</v>
          </cell>
        </row>
        <row r="994">
          <cell r="A994" t="str">
            <v>Medium Viper</v>
          </cell>
          <cell r="B994">
            <v>2</v>
          </cell>
          <cell r="C994">
            <v>0</v>
          </cell>
          <cell r="D994" t="str">
            <v>no special abilities</v>
          </cell>
          <cell r="E994" t="str">
            <v>magical beast</v>
          </cell>
          <cell r="F994">
            <v>8</v>
          </cell>
          <cell r="G994">
            <v>17</v>
          </cell>
          <cell r="H994">
            <v>11</v>
          </cell>
          <cell r="I994">
            <v>1</v>
          </cell>
          <cell r="J994">
            <v>12</v>
          </cell>
          <cell r="K994">
            <v>6</v>
          </cell>
          <cell r="L994" t="str">
            <v>medium</v>
          </cell>
          <cell r="M994" t="str">
            <v>20'</v>
          </cell>
          <cell r="N994" t="str">
            <v>2d8+0</v>
          </cell>
          <cell r="O994" t="str">
            <v>+2</v>
          </cell>
          <cell r="P994" t="str">
            <v>+5</v>
          </cell>
          <cell r="Q994" t="str">
            <v>+1</v>
          </cell>
          <cell r="R994" t="str">
            <v>Bite +4</v>
          </cell>
          <cell r="S994" t="str">
            <v>Bite 1d4-1 plus poison</v>
          </cell>
          <cell r="T994">
            <v>16</v>
          </cell>
          <cell r="U994">
            <v>9</v>
          </cell>
          <cell r="V994" t="str">
            <v>Balance +11, Climb +11, Hide +11, Listen +5, Spot, +5, Swim +11</v>
          </cell>
          <cell r="W994" t="str">
            <v>weapon finesse, poison</v>
          </cell>
          <cell r="X994" t="str">
            <v>poison (ex): Fortitude save (DC11); initial and secondary damage 1d6 temporary Constitution</v>
          </cell>
        </row>
        <row r="995">
          <cell r="A995" t="str">
            <v>Wolf</v>
          </cell>
          <cell r="B995">
            <v>2</v>
          </cell>
          <cell r="C995">
            <v>0</v>
          </cell>
          <cell r="D995" t="str">
            <v>no special abilities</v>
          </cell>
          <cell r="E995" t="str">
            <v>magical beast</v>
          </cell>
          <cell r="F995">
            <v>13</v>
          </cell>
          <cell r="G995">
            <v>15</v>
          </cell>
          <cell r="H995">
            <v>15</v>
          </cell>
          <cell r="I995">
            <v>2</v>
          </cell>
          <cell r="J995">
            <v>12</v>
          </cell>
          <cell r="K995">
            <v>6</v>
          </cell>
          <cell r="L995" t="str">
            <v>medium</v>
          </cell>
          <cell r="M995" t="str">
            <v>50'</v>
          </cell>
          <cell r="N995" t="str">
            <v>2d8+0</v>
          </cell>
          <cell r="O995" t="str">
            <v>+4</v>
          </cell>
          <cell r="P995" t="str">
            <v>+4</v>
          </cell>
          <cell r="Q995" t="str">
            <v>+1</v>
          </cell>
          <cell r="R995" t="str">
            <v>Bite +3 melee</v>
          </cell>
          <cell r="S995" t="str">
            <v>Bite 1d6+1</v>
          </cell>
          <cell r="T995">
            <v>14</v>
          </cell>
          <cell r="U995">
            <v>13</v>
          </cell>
          <cell r="V995" t="str">
            <v>Hide +2, Listen +3, Move Silently +3, Spot +3, Survival +1</v>
          </cell>
          <cell r="W995" t="str">
            <v>track, weapon finesse</v>
          </cell>
          <cell r="X995" t="str">
            <v>trip; +4 racial bonus on survival checks when tracking by scent</v>
          </cell>
        </row>
        <row r="996">
          <cell r="A996" t="str">
            <v>-- Custom Animal Companions --</v>
          </cell>
        </row>
        <row r="1030">
          <cell r="A1030">
            <v>1</v>
          </cell>
          <cell r="B1030">
            <v>3</v>
          </cell>
        </row>
        <row r="1031">
          <cell r="A1031">
            <v>2</v>
          </cell>
          <cell r="B1031">
            <v>6</v>
          </cell>
        </row>
        <row r="1032">
          <cell r="A1032">
            <v>3</v>
          </cell>
          <cell r="B1032">
            <v>10</v>
          </cell>
        </row>
        <row r="1033">
          <cell r="A1033">
            <v>4</v>
          </cell>
          <cell r="B1033">
            <v>13</v>
          </cell>
        </row>
        <row r="1034">
          <cell r="A1034">
            <v>5</v>
          </cell>
          <cell r="B1034">
            <v>16</v>
          </cell>
        </row>
        <row r="1035">
          <cell r="A1035">
            <v>6</v>
          </cell>
          <cell r="B1035">
            <v>20</v>
          </cell>
        </row>
        <row r="1036">
          <cell r="A1036">
            <v>7</v>
          </cell>
          <cell r="B1036">
            <v>23</v>
          </cell>
        </row>
        <row r="1037">
          <cell r="A1037">
            <v>8</v>
          </cell>
          <cell r="B1037">
            <v>26</v>
          </cell>
        </row>
        <row r="1038">
          <cell r="A1038">
            <v>9</v>
          </cell>
          <cell r="B1038">
            <v>30</v>
          </cell>
        </row>
        <row r="1039">
          <cell r="A1039">
            <v>10</v>
          </cell>
          <cell r="B1039">
            <v>33</v>
          </cell>
        </row>
        <row r="1040">
          <cell r="A1040">
            <v>11</v>
          </cell>
          <cell r="B1040">
            <v>38</v>
          </cell>
        </row>
        <row r="1041">
          <cell r="A1041">
            <v>12</v>
          </cell>
          <cell r="B1041">
            <v>43</v>
          </cell>
        </row>
        <row r="1042">
          <cell r="A1042">
            <v>13</v>
          </cell>
          <cell r="B1042">
            <v>50</v>
          </cell>
        </row>
        <row r="1043">
          <cell r="A1043">
            <v>14</v>
          </cell>
          <cell r="B1043">
            <v>58</v>
          </cell>
        </row>
        <row r="1044">
          <cell r="A1044">
            <v>15</v>
          </cell>
          <cell r="B1044">
            <v>66</v>
          </cell>
        </row>
        <row r="1045">
          <cell r="A1045">
            <v>16</v>
          </cell>
          <cell r="B1045">
            <v>76</v>
          </cell>
        </row>
        <row r="1046">
          <cell r="A1046">
            <v>17</v>
          </cell>
          <cell r="B1046">
            <v>86</v>
          </cell>
        </row>
        <row r="1047">
          <cell r="A1047">
            <v>18</v>
          </cell>
          <cell r="B1047">
            <v>100</v>
          </cell>
        </row>
        <row r="1048">
          <cell r="A1048">
            <v>19</v>
          </cell>
          <cell r="B1048">
            <v>116</v>
          </cell>
        </row>
        <row r="1049">
          <cell r="A1049">
            <v>20</v>
          </cell>
          <cell r="B1049">
            <v>133</v>
          </cell>
        </row>
        <row r="1050">
          <cell r="A1050">
            <v>21</v>
          </cell>
          <cell r="B1050">
            <v>153</v>
          </cell>
        </row>
        <row r="1051">
          <cell r="A1051">
            <v>22</v>
          </cell>
          <cell r="B1051">
            <v>173</v>
          </cell>
        </row>
        <row r="1052">
          <cell r="A1052">
            <v>23</v>
          </cell>
          <cell r="B1052">
            <v>200</v>
          </cell>
        </row>
        <row r="1053">
          <cell r="A1053">
            <v>24</v>
          </cell>
          <cell r="B1053">
            <v>233</v>
          </cell>
        </row>
        <row r="1054">
          <cell r="A1054">
            <v>25</v>
          </cell>
          <cell r="B1054">
            <v>266</v>
          </cell>
        </row>
        <row r="1055">
          <cell r="A1055">
            <v>26</v>
          </cell>
          <cell r="B1055">
            <v>306</v>
          </cell>
        </row>
        <row r="1056">
          <cell r="A1056">
            <v>27</v>
          </cell>
          <cell r="B1056">
            <v>346</v>
          </cell>
        </row>
        <row r="1057">
          <cell r="A1057">
            <v>28</v>
          </cell>
          <cell r="B1057">
            <v>400</v>
          </cell>
        </row>
        <row r="1058">
          <cell r="A1058">
            <v>29</v>
          </cell>
          <cell r="B1058">
            <v>466</v>
          </cell>
        </row>
        <row r="1060">
          <cell r="A1060" t="str">
            <v>Carrying Loads</v>
          </cell>
          <cell r="B1060" t="str">
            <v>Max Dex</v>
          </cell>
          <cell r="C1060" t="str">
            <v>Check</v>
          </cell>
          <cell r="D1060">
            <v>20</v>
          </cell>
          <cell r="E1060">
            <v>30</v>
          </cell>
          <cell r="F1060">
            <v>40</v>
          </cell>
          <cell r="G1060">
            <v>50</v>
          </cell>
          <cell r="H1060">
            <v>60</v>
          </cell>
        </row>
        <row r="1061">
          <cell r="A1061" t="str">
            <v>Light</v>
          </cell>
          <cell r="D1061">
            <v>20</v>
          </cell>
          <cell r="E1061">
            <v>30</v>
          </cell>
          <cell r="F1061">
            <v>40</v>
          </cell>
          <cell r="G1061">
            <v>50</v>
          </cell>
          <cell r="H1061">
            <v>60</v>
          </cell>
        </row>
        <row r="1062">
          <cell r="A1062" t="str">
            <v>Medium</v>
          </cell>
          <cell r="B1062">
            <v>3</v>
          </cell>
          <cell r="C1062">
            <v>-3</v>
          </cell>
          <cell r="D1062">
            <v>15</v>
          </cell>
          <cell r="E1062">
            <v>20</v>
          </cell>
          <cell r="F1062">
            <v>30</v>
          </cell>
          <cell r="G1062">
            <v>40</v>
          </cell>
          <cell r="H1062">
            <v>50</v>
          </cell>
        </row>
        <row r="1063">
          <cell r="A1063" t="str">
            <v>Heavy</v>
          </cell>
          <cell r="B1063">
            <v>1</v>
          </cell>
          <cell r="C1063">
            <v>-6</v>
          </cell>
          <cell r="D1063">
            <v>15</v>
          </cell>
          <cell r="E1063">
            <v>20</v>
          </cell>
          <cell r="F1063">
            <v>30</v>
          </cell>
          <cell r="G1063">
            <v>40</v>
          </cell>
          <cell r="H1063">
            <v>50</v>
          </cell>
        </row>
        <row r="1066">
          <cell r="A1066">
            <v>0</v>
          </cell>
          <cell r="B1066">
            <v>15</v>
          </cell>
          <cell r="C1066">
            <v>20</v>
          </cell>
          <cell r="D1066">
            <v>30</v>
          </cell>
        </row>
        <row r="1067">
          <cell r="A1067">
            <v>1</v>
          </cell>
          <cell r="B1067">
            <v>15</v>
          </cell>
          <cell r="C1067">
            <v>20</v>
          </cell>
          <cell r="D1067">
            <v>30</v>
          </cell>
        </row>
        <row r="1068">
          <cell r="A1068">
            <v>2</v>
          </cell>
          <cell r="B1068">
            <v>15</v>
          </cell>
          <cell r="C1068">
            <v>20</v>
          </cell>
          <cell r="D1068">
            <v>30</v>
          </cell>
        </row>
        <row r="1069">
          <cell r="A1069">
            <v>3</v>
          </cell>
          <cell r="B1069">
            <v>20</v>
          </cell>
          <cell r="C1069">
            <v>25</v>
          </cell>
          <cell r="D1069">
            <v>40</v>
          </cell>
        </row>
        <row r="1070">
          <cell r="A1070">
            <v>4</v>
          </cell>
          <cell r="B1070">
            <v>20</v>
          </cell>
          <cell r="C1070">
            <v>25</v>
          </cell>
          <cell r="D1070">
            <v>40</v>
          </cell>
        </row>
        <row r="1071">
          <cell r="A1071">
            <v>5</v>
          </cell>
          <cell r="B1071">
            <v>20</v>
          </cell>
          <cell r="C1071">
            <v>25</v>
          </cell>
          <cell r="D1071">
            <v>40</v>
          </cell>
        </row>
        <row r="1072">
          <cell r="A1072">
            <v>6</v>
          </cell>
          <cell r="B1072">
            <v>25</v>
          </cell>
          <cell r="C1072">
            <v>35</v>
          </cell>
          <cell r="D1072">
            <v>50</v>
          </cell>
        </row>
        <row r="1073">
          <cell r="A1073">
            <v>7</v>
          </cell>
          <cell r="B1073">
            <v>25</v>
          </cell>
          <cell r="C1073">
            <v>35</v>
          </cell>
          <cell r="D1073">
            <v>50</v>
          </cell>
        </row>
        <row r="1074">
          <cell r="A1074">
            <v>8</v>
          </cell>
          <cell r="B1074">
            <v>25</v>
          </cell>
          <cell r="C1074">
            <v>35</v>
          </cell>
          <cell r="D1074">
            <v>50</v>
          </cell>
        </row>
        <row r="1075">
          <cell r="A1075">
            <v>9</v>
          </cell>
          <cell r="B1075">
            <v>30</v>
          </cell>
          <cell r="C1075">
            <v>40</v>
          </cell>
          <cell r="D1075">
            <v>60</v>
          </cell>
        </row>
        <row r="1076">
          <cell r="A1076">
            <v>10</v>
          </cell>
          <cell r="B1076">
            <v>30</v>
          </cell>
          <cell r="C1076">
            <v>40</v>
          </cell>
          <cell r="D1076">
            <v>60</v>
          </cell>
        </row>
        <row r="1077">
          <cell r="A1077">
            <v>11</v>
          </cell>
          <cell r="B1077">
            <v>30</v>
          </cell>
          <cell r="C1077">
            <v>40</v>
          </cell>
          <cell r="D1077">
            <v>60</v>
          </cell>
        </row>
        <row r="1078">
          <cell r="A1078">
            <v>12</v>
          </cell>
          <cell r="B1078">
            <v>35</v>
          </cell>
          <cell r="C1078">
            <v>45</v>
          </cell>
          <cell r="D1078">
            <v>70</v>
          </cell>
        </row>
        <row r="1079">
          <cell r="A1079">
            <v>13</v>
          </cell>
          <cell r="B1079">
            <v>35</v>
          </cell>
          <cell r="C1079">
            <v>45</v>
          </cell>
          <cell r="D1079">
            <v>70</v>
          </cell>
        </row>
        <row r="1080">
          <cell r="A1080">
            <v>14</v>
          </cell>
          <cell r="B1080">
            <v>35</v>
          </cell>
          <cell r="C1080">
            <v>45</v>
          </cell>
          <cell r="D1080">
            <v>70</v>
          </cell>
        </row>
        <row r="1081">
          <cell r="A1081">
            <v>15</v>
          </cell>
          <cell r="B1081">
            <v>40</v>
          </cell>
          <cell r="C1081">
            <v>55</v>
          </cell>
          <cell r="D1081">
            <v>80</v>
          </cell>
        </row>
        <row r="1082">
          <cell r="A1082">
            <v>16</v>
          </cell>
          <cell r="B1082">
            <v>40</v>
          </cell>
          <cell r="C1082">
            <v>55</v>
          </cell>
          <cell r="D1082">
            <v>80</v>
          </cell>
        </row>
        <row r="1083">
          <cell r="A1083">
            <v>17</v>
          </cell>
          <cell r="B1083">
            <v>40</v>
          </cell>
          <cell r="C1083">
            <v>55</v>
          </cell>
          <cell r="D1083">
            <v>80</v>
          </cell>
        </row>
        <row r="1084">
          <cell r="A1084">
            <v>18</v>
          </cell>
          <cell r="B1084">
            <v>45</v>
          </cell>
          <cell r="C1084">
            <v>60</v>
          </cell>
          <cell r="D1084">
            <v>90</v>
          </cell>
        </row>
        <row r="1085">
          <cell r="A1085">
            <v>19</v>
          </cell>
          <cell r="B1085">
            <v>45</v>
          </cell>
          <cell r="C1085">
            <v>60</v>
          </cell>
          <cell r="D1085">
            <v>90</v>
          </cell>
        </row>
        <row r="1086">
          <cell r="A1086">
            <v>20</v>
          </cell>
          <cell r="B1086">
            <v>45</v>
          </cell>
          <cell r="C1086">
            <v>60</v>
          </cell>
          <cell r="D1086">
            <v>90</v>
          </cell>
        </row>
        <row r="1589">
          <cell r="B1589" t="str">
            <v>Power Points</v>
          </cell>
          <cell r="C1589" t="str">
            <v>Known</v>
          </cell>
          <cell r="D1589" t="str">
            <v>Max lvl</v>
          </cell>
        </row>
        <row r="1590">
          <cell r="B1590">
            <v>0</v>
          </cell>
          <cell r="C1590">
            <v>1</v>
          </cell>
          <cell r="D1590">
            <v>1</v>
          </cell>
        </row>
        <row r="1591">
          <cell r="B1591">
            <v>1</v>
          </cell>
          <cell r="C1591">
            <v>2</v>
          </cell>
          <cell r="D1591">
            <v>1</v>
          </cell>
        </row>
        <row r="1592">
          <cell r="B1592">
            <v>3</v>
          </cell>
          <cell r="C1592">
            <v>3</v>
          </cell>
          <cell r="D1592">
            <v>1</v>
          </cell>
        </row>
        <row r="1593">
          <cell r="B1593">
            <v>5</v>
          </cell>
          <cell r="C1593">
            <v>4</v>
          </cell>
          <cell r="D1593">
            <v>2</v>
          </cell>
        </row>
        <row r="1594">
          <cell r="B1594">
            <v>7</v>
          </cell>
          <cell r="C1594">
            <v>5</v>
          </cell>
          <cell r="D1594">
            <v>2</v>
          </cell>
        </row>
        <row r="1595">
          <cell r="B1595">
            <v>11</v>
          </cell>
          <cell r="C1595">
            <v>6</v>
          </cell>
          <cell r="D1595">
            <v>2</v>
          </cell>
        </row>
        <row r="1596">
          <cell r="B1596">
            <v>15</v>
          </cell>
          <cell r="C1596">
            <v>7</v>
          </cell>
          <cell r="D1596">
            <v>3</v>
          </cell>
        </row>
        <row r="1597">
          <cell r="B1597">
            <v>19</v>
          </cell>
          <cell r="C1597">
            <v>8</v>
          </cell>
          <cell r="D1597">
            <v>3</v>
          </cell>
        </row>
        <row r="1598">
          <cell r="B1598">
            <v>23</v>
          </cell>
          <cell r="C1598">
            <v>9</v>
          </cell>
          <cell r="D1598">
            <v>3</v>
          </cell>
        </row>
        <row r="1599">
          <cell r="B1599">
            <v>27</v>
          </cell>
          <cell r="C1599">
            <v>10</v>
          </cell>
          <cell r="D1599">
            <v>4</v>
          </cell>
        </row>
        <row r="1600">
          <cell r="B1600">
            <v>35</v>
          </cell>
          <cell r="C1600">
            <v>11</v>
          </cell>
          <cell r="D1600">
            <v>4</v>
          </cell>
        </row>
        <row r="1601">
          <cell r="B1601">
            <v>43</v>
          </cell>
          <cell r="C1601">
            <v>12</v>
          </cell>
          <cell r="D1601">
            <v>4</v>
          </cell>
        </row>
        <row r="1602">
          <cell r="B1602">
            <v>51</v>
          </cell>
          <cell r="C1602">
            <v>13</v>
          </cell>
          <cell r="D1602">
            <v>5</v>
          </cell>
        </row>
        <row r="1603">
          <cell r="B1603">
            <v>59</v>
          </cell>
          <cell r="C1603">
            <v>14</v>
          </cell>
          <cell r="D1603">
            <v>5</v>
          </cell>
        </row>
        <row r="1604">
          <cell r="B1604">
            <v>67</v>
          </cell>
          <cell r="C1604">
            <v>15</v>
          </cell>
          <cell r="D1604">
            <v>5</v>
          </cell>
        </row>
        <row r="1605">
          <cell r="B1605">
            <v>79</v>
          </cell>
          <cell r="C1605">
            <v>16</v>
          </cell>
          <cell r="D1605">
            <v>6</v>
          </cell>
        </row>
        <row r="1606">
          <cell r="B1606">
            <v>91</v>
          </cell>
          <cell r="C1606">
            <v>17</v>
          </cell>
          <cell r="D1606">
            <v>6</v>
          </cell>
        </row>
        <row r="1607">
          <cell r="B1607">
            <v>103</v>
          </cell>
          <cell r="C1607">
            <v>18</v>
          </cell>
          <cell r="D1607">
            <v>6</v>
          </cell>
        </row>
        <row r="1608">
          <cell r="B1608">
            <v>115</v>
          </cell>
          <cell r="C1608">
            <v>19</v>
          </cell>
          <cell r="D1608">
            <v>6</v>
          </cell>
        </row>
        <row r="1609">
          <cell r="B1609">
            <v>127</v>
          </cell>
          <cell r="C1609">
            <v>20</v>
          </cell>
          <cell r="D1609">
            <v>6</v>
          </cell>
        </row>
        <row r="1634">
          <cell r="A1634" t="str">
            <v>Artiste</v>
          </cell>
          <cell r="B1634" t="str">
            <v>+3 Craft checks</v>
          </cell>
        </row>
        <row r="1635">
          <cell r="A1635" t="str">
            <v>Bully</v>
          </cell>
          <cell r="B1635" t="str">
            <v>+3 Intimidate checks</v>
          </cell>
        </row>
        <row r="1636">
          <cell r="A1636" t="str">
            <v>Coward</v>
          </cell>
          <cell r="B1636" t="str">
            <v>+3 Hide checks</v>
          </cell>
        </row>
        <row r="1637">
          <cell r="A1637" t="str">
            <v>Friendly</v>
          </cell>
          <cell r="B1637" t="str">
            <v>+3 Diplomacy checks</v>
          </cell>
        </row>
        <row r="1638">
          <cell r="A1638" t="str">
            <v>Hero</v>
          </cell>
          <cell r="B1638" t="str">
            <v>+2 Fortitude Saves</v>
          </cell>
        </row>
        <row r="1639">
          <cell r="A1639" t="str">
            <v>Liar</v>
          </cell>
          <cell r="B1639" t="str">
            <v>+3 Bluff checks</v>
          </cell>
        </row>
        <row r="1640">
          <cell r="A1640" t="str">
            <v>Meticulous</v>
          </cell>
          <cell r="B1640" t="str">
            <v>+3 Search checks</v>
          </cell>
        </row>
        <row r="1641">
          <cell r="A1641" t="str">
            <v>Nimble</v>
          </cell>
          <cell r="B1641" t="str">
            <v>+3 Initiative rolls</v>
          </cell>
        </row>
        <row r="1642">
          <cell r="A1642" t="str">
            <v>Observant</v>
          </cell>
          <cell r="B1642" t="str">
            <v>+3 Spot checks</v>
          </cell>
        </row>
        <row r="1643">
          <cell r="A1643" t="str">
            <v>Poised</v>
          </cell>
          <cell r="B1643" t="str">
            <v>+3 Balance checks</v>
          </cell>
        </row>
        <row r="1644">
          <cell r="A1644" t="str">
            <v>Resolved</v>
          </cell>
          <cell r="B1644" t="str">
            <v>+2 Will Saves</v>
          </cell>
        </row>
        <row r="1645">
          <cell r="A1645" t="str">
            <v>Sage</v>
          </cell>
          <cell r="B1645" t="str">
            <v>+2 Knowledge checks</v>
          </cell>
        </row>
        <row r="1646">
          <cell r="A1646" t="str">
            <v>Single-minded</v>
          </cell>
          <cell r="B1646" t="str">
            <v>+3 Concentration checks</v>
          </cell>
        </row>
        <row r="1647">
          <cell r="A1647" t="str">
            <v>Sneaky</v>
          </cell>
          <cell r="B1647" t="str">
            <v>+3 Move Silently checks</v>
          </cell>
        </row>
        <row r="1648">
          <cell r="A1648" t="str">
            <v>Sympathetic</v>
          </cell>
          <cell r="B1648" t="str">
            <v>+3 Sense Motive checks</v>
          </cell>
        </row>
        <row r="1649">
          <cell r="A1649" t="str">
            <v>--Custom Personalities</v>
          </cell>
        </row>
      </sheetData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cter"/>
      <sheetName val="Spells"/>
      <sheetName val="Class"/>
      <sheetName val="Skills"/>
      <sheetName val="Combat"/>
      <sheetName val="dev notes"/>
      <sheetName val="reference"/>
    </sheetNames>
    <sheetDataSet>
      <sheetData sheetId="0">
        <row r="126">
          <cell r="BF126">
            <v>0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D3FEE-3441-4A71-9F39-88243400B0E9}">
  <sheetPr codeName="Sheet8">
    <pageSetUpPr fitToPage="1"/>
  </sheetPr>
  <dimension ref="A1:CW59"/>
  <sheetViews>
    <sheetView tabSelected="1" view="pageBreakPreview" zoomScale="115" zoomScaleNormal="115" zoomScaleSheetLayoutView="115" workbookViewId="0">
      <pane ySplit="1" topLeftCell="A2" activePane="bottomLeft" state="frozen"/>
      <selection activeCell="B48" sqref="B48"/>
      <selection pane="bottomLeft" activeCell="B1" sqref="B1:T1"/>
    </sheetView>
  </sheetViews>
  <sheetFormatPr defaultColWidth="1.7109375" defaultRowHeight="13.5" customHeight="1" x14ac:dyDescent="0.2"/>
  <cols>
    <col min="1" max="24" width="1.7109375" style="31" customWidth="1"/>
    <col min="25" max="26" width="2" style="31" customWidth="1"/>
    <col min="27" max="53" width="1.7109375" style="31" customWidth="1"/>
    <col min="54" max="56" width="2" style="31" customWidth="1"/>
    <col min="57" max="57" width="1.7109375" style="31" customWidth="1"/>
    <col min="58" max="58" width="10.28515625" style="7" bestFit="1" customWidth="1"/>
    <col min="59" max="78" width="1.7109375" style="7" customWidth="1"/>
    <col min="79" max="101" width="1.7109375" style="9" customWidth="1"/>
    <col min="102" max="280" width="1.7109375" style="31"/>
    <col min="281" max="282" width="2" style="31" customWidth="1"/>
    <col min="283" max="309" width="1.7109375" style="31"/>
    <col min="310" max="312" width="2" style="31" customWidth="1"/>
    <col min="313" max="313" width="1.7109375" style="31"/>
    <col min="314" max="314" width="10.28515625" style="31" bestFit="1" customWidth="1"/>
    <col min="315" max="536" width="1.7109375" style="31"/>
    <col min="537" max="538" width="2" style="31" customWidth="1"/>
    <col min="539" max="565" width="1.7109375" style="31"/>
    <col min="566" max="568" width="2" style="31" customWidth="1"/>
    <col min="569" max="569" width="1.7109375" style="31"/>
    <col min="570" max="570" width="10.28515625" style="31" bestFit="1" customWidth="1"/>
    <col min="571" max="792" width="1.7109375" style="31"/>
    <col min="793" max="794" width="2" style="31" customWidth="1"/>
    <col min="795" max="821" width="1.7109375" style="31"/>
    <col min="822" max="824" width="2" style="31" customWidth="1"/>
    <col min="825" max="825" width="1.7109375" style="31"/>
    <col min="826" max="826" width="10.28515625" style="31" bestFit="1" customWidth="1"/>
    <col min="827" max="1048" width="1.7109375" style="31"/>
    <col min="1049" max="1050" width="2" style="31" customWidth="1"/>
    <col min="1051" max="1077" width="1.7109375" style="31"/>
    <col min="1078" max="1080" width="2" style="31" customWidth="1"/>
    <col min="1081" max="1081" width="1.7109375" style="31"/>
    <col min="1082" max="1082" width="10.28515625" style="31" bestFit="1" customWidth="1"/>
    <col min="1083" max="1304" width="1.7109375" style="31"/>
    <col min="1305" max="1306" width="2" style="31" customWidth="1"/>
    <col min="1307" max="1333" width="1.7109375" style="31"/>
    <col min="1334" max="1336" width="2" style="31" customWidth="1"/>
    <col min="1337" max="1337" width="1.7109375" style="31"/>
    <col min="1338" max="1338" width="10.28515625" style="31" bestFit="1" customWidth="1"/>
    <col min="1339" max="1560" width="1.7109375" style="31"/>
    <col min="1561" max="1562" width="2" style="31" customWidth="1"/>
    <col min="1563" max="1589" width="1.7109375" style="31"/>
    <col min="1590" max="1592" width="2" style="31" customWidth="1"/>
    <col min="1593" max="1593" width="1.7109375" style="31"/>
    <col min="1594" max="1594" width="10.28515625" style="31" bestFit="1" customWidth="1"/>
    <col min="1595" max="1816" width="1.7109375" style="31"/>
    <col min="1817" max="1818" width="2" style="31" customWidth="1"/>
    <col min="1819" max="1845" width="1.7109375" style="31"/>
    <col min="1846" max="1848" width="2" style="31" customWidth="1"/>
    <col min="1849" max="1849" width="1.7109375" style="31"/>
    <col min="1850" max="1850" width="10.28515625" style="31" bestFit="1" customWidth="1"/>
    <col min="1851" max="2072" width="1.7109375" style="31"/>
    <col min="2073" max="2074" width="2" style="31" customWidth="1"/>
    <col min="2075" max="2101" width="1.7109375" style="31"/>
    <col min="2102" max="2104" width="2" style="31" customWidth="1"/>
    <col min="2105" max="2105" width="1.7109375" style="31"/>
    <col min="2106" max="2106" width="10.28515625" style="31" bestFit="1" customWidth="1"/>
    <col min="2107" max="2328" width="1.7109375" style="31"/>
    <col min="2329" max="2330" width="2" style="31" customWidth="1"/>
    <col min="2331" max="2357" width="1.7109375" style="31"/>
    <col min="2358" max="2360" width="2" style="31" customWidth="1"/>
    <col min="2361" max="2361" width="1.7109375" style="31"/>
    <col min="2362" max="2362" width="10.28515625" style="31" bestFit="1" customWidth="1"/>
    <col min="2363" max="2584" width="1.7109375" style="31"/>
    <col min="2585" max="2586" width="2" style="31" customWidth="1"/>
    <col min="2587" max="2613" width="1.7109375" style="31"/>
    <col min="2614" max="2616" width="2" style="31" customWidth="1"/>
    <col min="2617" max="2617" width="1.7109375" style="31"/>
    <col min="2618" max="2618" width="10.28515625" style="31" bestFit="1" customWidth="1"/>
    <col min="2619" max="2840" width="1.7109375" style="31"/>
    <col min="2841" max="2842" width="2" style="31" customWidth="1"/>
    <col min="2843" max="2869" width="1.7109375" style="31"/>
    <col min="2870" max="2872" width="2" style="31" customWidth="1"/>
    <col min="2873" max="2873" width="1.7109375" style="31"/>
    <col min="2874" max="2874" width="10.28515625" style="31" bestFit="1" customWidth="1"/>
    <col min="2875" max="3096" width="1.7109375" style="31"/>
    <col min="3097" max="3098" width="2" style="31" customWidth="1"/>
    <col min="3099" max="3125" width="1.7109375" style="31"/>
    <col min="3126" max="3128" width="2" style="31" customWidth="1"/>
    <col min="3129" max="3129" width="1.7109375" style="31"/>
    <col min="3130" max="3130" width="10.28515625" style="31" bestFit="1" customWidth="1"/>
    <col min="3131" max="3352" width="1.7109375" style="31"/>
    <col min="3353" max="3354" width="2" style="31" customWidth="1"/>
    <col min="3355" max="3381" width="1.7109375" style="31"/>
    <col min="3382" max="3384" width="2" style="31" customWidth="1"/>
    <col min="3385" max="3385" width="1.7109375" style="31"/>
    <col min="3386" max="3386" width="10.28515625" style="31" bestFit="1" customWidth="1"/>
    <col min="3387" max="3608" width="1.7109375" style="31"/>
    <col min="3609" max="3610" width="2" style="31" customWidth="1"/>
    <col min="3611" max="3637" width="1.7109375" style="31"/>
    <col min="3638" max="3640" width="2" style="31" customWidth="1"/>
    <col min="3641" max="3641" width="1.7109375" style="31"/>
    <col min="3642" max="3642" width="10.28515625" style="31" bestFit="1" customWidth="1"/>
    <col min="3643" max="3864" width="1.7109375" style="31"/>
    <col min="3865" max="3866" width="2" style="31" customWidth="1"/>
    <col min="3867" max="3893" width="1.7109375" style="31"/>
    <col min="3894" max="3896" width="2" style="31" customWidth="1"/>
    <col min="3897" max="3897" width="1.7109375" style="31"/>
    <col min="3898" max="3898" width="10.28515625" style="31" bestFit="1" customWidth="1"/>
    <col min="3899" max="4120" width="1.7109375" style="31"/>
    <col min="4121" max="4122" width="2" style="31" customWidth="1"/>
    <col min="4123" max="4149" width="1.7109375" style="31"/>
    <col min="4150" max="4152" width="2" style="31" customWidth="1"/>
    <col min="4153" max="4153" width="1.7109375" style="31"/>
    <col min="4154" max="4154" width="10.28515625" style="31" bestFit="1" customWidth="1"/>
    <col min="4155" max="4376" width="1.7109375" style="31"/>
    <col min="4377" max="4378" width="2" style="31" customWidth="1"/>
    <col min="4379" max="4405" width="1.7109375" style="31"/>
    <col min="4406" max="4408" width="2" style="31" customWidth="1"/>
    <col min="4409" max="4409" width="1.7109375" style="31"/>
    <col min="4410" max="4410" width="10.28515625" style="31" bestFit="1" customWidth="1"/>
    <col min="4411" max="4632" width="1.7109375" style="31"/>
    <col min="4633" max="4634" width="2" style="31" customWidth="1"/>
    <col min="4635" max="4661" width="1.7109375" style="31"/>
    <col min="4662" max="4664" width="2" style="31" customWidth="1"/>
    <col min="4665" max="4665" width="1.7109375" style="31"/>
    <col min="4666" max="4666" width="10.28515625" style="31" bestFit="1" customWidth="1"/>
    <col min="4667" max="4888" width="1.7109375" style="31"/>
    <col min="4889" max="4890" width="2" style="31" customWidth="1"/>
    <col min="4891" max="4917" width="1.7109375" style="31"/>
    <col min="4918" max="4920" width="2" style="31" customWidth="1"/>
    <col min="4921" max="4921" width="1.7109375" style="31"/>
    <col min="4922" max="4922" width="10.28515625" style="31" bestFit="1" customWidth="1"/>
    <col min="4923" max="5144" width="1.7109375" style="31"/>
    <col min="5145" max="5146" width="2" style="31" customWidth="1"/>
    <col min="5147" max="5173" width="1.7109375" style="31"/>
    <col min="5174" max="5176" width="2" style="31" customWidth="1"/>
    <col min="5177" max="5177" width="1.7109375" style="31"/>
    <col min="5178" max="5178" width="10.28515625" style="31" bestFit="1" customWidth="1"/>
    <col min="5179" max="5400" width="1.7109375" style="31"/>
    <col min="5401" max="5402" width="2" style="31" customWidth="1"/>
    <col min="5403" max="5429" width="1.7109375" style="31"/>
    <col min="5430" max="5432" width="2" style="31" customWidth="1"/>
    <col min="5433" max="5433" width="1.7109375" style="31"/>
    <col min="5434" max="5434" width="10.28515625" style="31" bestFit="1" customWidth="1"/>
    <col min="5435" max="5656" width="1.7109375" style="31"/>
    <col min="5657" max="5658" width="2" style="31" customWidth="1"/>
    <col min="5659" max="5685" width="1.7109375" style="31"/>
    <col min="5686" max="5688" width="2" style="31" customWidth="1"/>
    <col min="5689" max="5689" width="1.7109375" style="31"/>
    <col min="5690" max="5690" width="10.28515625" style="31" bestFit="1" customWidth="1"/>
    <col min="5691" max="5912" width="1.7109375" style="31"/>
    <col min="5913" max="5914" width="2" style="31" customWidth="1"/>
    <col min="5915" max="5941" width="1.7109375" style="31"/>
    <col min="5942" max="5944" width="2" style="31" customWidth="1"/>
    <col min="5945" max="5945" width="1.7109375" style="31"/>
    <col min="5946" max="5946" width="10.28515625" style="31" bestFit="1" customWidth="1"/>
    <col min="5947" max="6168" width="1.7109375" style="31"/>
    <col min="6169" max="6170" width="2" style="31" customWidth="1"/>
    <col min="6171" max="6197" width="1.7109375" style="31"/>
    <col min="6198" max="6200" width="2" style="31" customWidth="1"/>
    <col min="6201" max="6201" width="1.7109375" style="31"/>
    <col min="6202" max="6202" width="10.28515625" style="31" bestFit="1" customWidth="1"/>
    <col min="6203" max="6424" width="1.7109375" style="31"/>
    <col min="6425" max="6426" width="2" style="31" customWidth="1"/>
    <col min="6427" max="6453" width="1.7109375" style="31"/>
    <col min="6454" max="6456" width="2" style="31" customWidth="1"/>
    <col min="6457" max="6457" width="1.7109375" style="31"/>
    <col min="6458" max="6458" width="10.28515625" style="31" bestFit="1" customWidth="1"/>
    <col min="6459" max="6680" width="1.7109375" style="31"/>
    <col min="6681" max="6682" width="2" style="31" customWidth="1"/>
    <col min="6683" max="6709" width="1.7109375" style="31"/>
    <col min="6710" max="6712" width="2" style="31" customWidth="1"/>
    <col min="6713" max="6713" width="1.7109375" style="31"/>
    <col min="6714" max="6714" width="10.28515625" style="31" bestFit="1" customWidth="1"/>
    <col min="6715" max="6936" width="1.7109375" style="31"/>
    <col min="6937" max="6938" width="2" style="31" customWidth="1"/>
    <col min="6939" max="6965" width="1.7109375" style="31"/>
    <col min="6966" max="6968" width="2" style="31" customWidth="1"/>
    <col min="6969" max="6969" width="1.7109375" style="31"/>
    <col min="6970" max="6970" width="10.28515625" style="31" bestFit="1" customWidth="1"/>
    <col min="6971" max="7192" width="1.7109375" style="31"/>
    <col min="7193" max="7194" width="2" style="31" customWidth="1"/>
    <col min="7195" max="7221" width="1.7109375" style="31"/>
    <col min="7222" max="7224" width="2" style="31" customWidth="1"/>
    <col min="7225" max="7225" width="1.7109375" style="31"/>
    <col min="7226" max="7226" width="10.28515625" style="31" bestFit="1" customWidth="1"/>
    <col min="7227" max="7448" width="1.7109375" style="31"/>
    <col min="7449" max="7450" width="2" style="31" customWidth="1"/>
    <col min="7451" max="7477" width="1.7109375" style="31"/>
    <col min="7478" max="7480" width="2" style="31" customWidth="1"/>
    <col min="7481" max="7481" width="1.7109375" style="31"/>
    <col min="7482" max="7482" width="10.28515625" style="31" bestFit="1" customWidth="1"/>
    <col min="7483" max="7704" width="1.7109375" style="31"/>
    <col min="7705" max="7706" width="2" style="31" customWidth="1"/>
    <col min="7707" max="7733" width="1.7109375" style="31"/>
    <col min="7734" max="7736" width="2" style="31" customWidth="1"/>
    <col min="7737" max="7737" width="1.7109375" style="31"/>
    <col min="7738" max="7738" width="10.28515625" style="31" bestFit="1" customWidth="1"/>
    <col min="7739" max="7960" width="1.7109375" style="31"/>
    <col min="7961" max="7962" width="2" style="31" customWidth="1"/>
    <col min="7963" max="7989" width="1.7109375" style="31"/>
    <col min="7990" max="7992" width="2" style="31" customWidth="1"/>
    <col min="7993" max="7993" width="1.7109375" style="31"/>
    <col min="7994" max="7994" width="10.28515625" style="31" bestFit="1" customWidth="1"/>
    <col min="7995" max="8216" width="1.7109375" style="31"/>
    <col min="8217" max="8218" width="2" style="31" customWidth="1"/>
    <col min="8219" max="8245" width="1.7109375" style="31"/>
    <col min="8246" max="8248" width="2" style="31" customWidth="1"/>
    <col min="8249" max="8249" width="1.7109375" style="31"/>
    <col min="8250" max="8250" width="10.28515625" style="31" bestFit="1" customWidth="1"/>
    <col min="8251" max="8472" width="1.7109375" style="31"/>
    <col min="8473" max="8474" width="2" style="31" customWidth="1"/>
    <col min="8475" max="8501" width="1.7109375" style="31"/>
    <col min="8502" max="8504" width="2" style="31" customWidth="1"/>
    <col min="8505" max="8505" width="1.7109375" style="31"/>
    <col min="8506" max="8506" width="10.28515625" style="31" bestFit="1" customWidth="1"/>
    <col min="8507" max="8728" width="1.7109375" style="31"/>
    <col min="8729" max="8730" width="2" style="31" customWidth="1"/>
    <col min="8731" max="8757" width="1.7109375" style="31"/>
    <col min="8758" max="8760" width="2" style="31" customWidth="1"/>
    <col min="8761" max="8761" width="1.7109375" style="31"/>
    <col min="8762" max="8762" width="10.28515625" style="31" bestFit="1" customWidth="1"/>
    <col min="8763" max="8984" width="1.7109375" style="31"/>
    <col min="8985" max="8986" width="2" style="31" customWidth="1"/>
    <col min="8987" max="9013" width="1.7109375" style="31"/>
    <col min="9014" max="9016" width="2" style="31" customWidth="1"/>
    <col min="9017" max="9017" width="1.7109375" style="31"/>
    <col min="9018" max="9018" width="10.28515625" style="31" bestFit="1" customWidth="1"/>
    <col min="9019" max="9240" width="1.7109375" style="31"/>
    <col min="9241" max="9242" width="2" style="31" customWidth="1"/>
    <col min="9243" max="9269" width="1.7109375" style="31"/>
    <col min="9270" max="9272" width="2" style="31" customWidth="1"/>
    <col min="9273" max="9273" width="1.7109375" style="31"/>
    <col min="9274" max="9274" width="10.28515625" style="31" bestFit="1" customWidth="1"/>
    <col min="9275" max="9496" width="1.7109375" style="31"/>
    <col min="9497" max="9498" width="2" style="31" customWidth="1"/>
    <col min="9499" max="9525" width="1.7109375" style="31"/>
    <col min="9526" max="9528" width="2" style="31" customWidth="1"/>
    <col min="9529" max="9529" width="1.7109375" style="31"/>
    <col min="9530" max="9530" width="10.28515625" style="31" bestFit="1" customWidth="1"/>
    <col min="9531" max="9752" width="1.7109375" style="31"/>
    <col min="9753" max="9754" width="2" style="31" customWidth="1"/>
    <col min="9755" max="9781" width="1.7109375" style="31"/>
    <col min="9782" max="9784" width="2" style="31" customWidth="1"/>
    <col min="9785" max="9785" width="1.7109375" style="31"/>
    <col min="9786" max="9786" width="10.28515625" style="31" bestFit="1" customWidth="1"/>
    <col min="9787" max="10008" width="1.7109375" style="31"/>
    <col min="10009" max="10010" width="2" style="31" customWidth="1"/>
    <col min="10011" max="10037" width="1.7109375" style="31"/>
    <col min="10038" max="10040" width="2" style="31" customWidth="1"/>
    <col min="10041" max="10041" width="1.7109375" style="31"/>
    <col min="10042" max="10042" width="10.28515625" style="31" bestFit="1" customWidth="1"/>
    <col min="10043" max="10264" width="1.7109375" style="31"/>
    <col min="10265" max="10266" width="2" style="31" customWidth="1"/>
    <col min="10267" max="10293" width="1.7109375" style="31"/>
    <col min="10294" max="10296" width="2" style="31" customWidth="1"/>
    <col min="10297" max="10297" width="1.7109375" style="31"/>
    <col min="10298" max="10298" width="10.28515625" style="31" bestFit="1" customWidth="1"/>
    <col min="10299" max="10520" width="1.7109375" style="31"/>
    <col min="10521" max="10522" width="2" style="31" customWidth="1"/>
    <col min="10523" max="10549" width="1.7109375" style="31"/>
    <col min="10550" max="10552" width="2" style="31" customWidth="1"/>
    <col min="10553" max="10553" width="1.7109375" style="31"/>
    <col min="10554" max="10554" width="10.28515625" style="31" bestFit="1" customWidth="1"/>
    <col min="10555" max="10776" width="1.7109375" style="31"/>
    <col min="10777" max="10778" width="2" style="31" customWidth="1"/>
    <col min="10779" max="10805" width="1.7109375" style="31"/>
    <col min="10806" max="10808" width="2" style="31" customWidth="1"/>
    <col min="10809" max="10809" width="1.7109375" style="31"/>
    <col min="10810" max="10810" width="10.28515625" style="31" bestFit="1" customWidth="1"/>
    <col min="10811" max="11032" width="1.7109375" style="31"/>
    <col min="11033" max="11034" width="2" style="31" customWidth="1"/>
    <col min="11035" max="11061" width="1.7109375" style="31"/>
    <col min="11062" max="11064" width="2" style="31" customWidth="1"/>
    <col min="11065" max="11065" width="1.7109375" style="31"/>
    <col min="11066" max="11066" width="10.28515625" style="31" bestFit="1" customWidth="1"/>
    <col min="11067" max="11288" width="1.7109375" style="31"/>
    <col min="11289" max="11290" width="2" style="31" customWidth="1"/>
    <col min="11291" max="11317" width="1.7109375" style="31"/>
    <col min="11318" max="11320" width="2" style="31" customWidth="1"/>
    <col min="11321" max="11321" width="1.7109375" style="31"/>
    <col min="11322" max="11322" width="10.28515625" style="31" bestFit="1" customWidth="1"/>
    <col min="11323" max="11544" width="1.7109375" style="31"/>
    <col min="11545" max="11546" width="2" style="31" customWidth="1"/>
    <col min="11547" max="11573" width="1.7109375" style="31"/>
    <col min="11574" max="11576" width="2" style="31" customWidth="1"/>
    <col min="11577" max="11577" width="1.7109375" style="31"/>
    <col min="11578" max="11578" width="10.28515625" style="31" bestFit="1" customWidth="1"/>
    <col min="11579" max="11800" width="1.7109375" style="31"/>
    <col min="11801" max="11802" width="2" style="31" customWidth="1"/>
    <col min="11803" max="11829" width="1.7109375" style="31"/>
    <col min="11830" max="11832" width="2" style="31" customWidth="1"/>
    <col min="11833" max="11833" width="1.7109375" style="31"/>
    <col min="11834" max="11834" width="10.28515625" style="31" bestFit="1" customWidth="1"/>
    <col min="11835" max="12056" width="1.7109375" style="31"/>
    <col min="12057" max="12058" width="2" style="31" customWidth="1"/>
    <col min="12059" max="12085" width="1.7109375" style="31"/>
    <col min="12086" max="12088" width="2" style="31" customWidth="1"/>
    <col min="12089" max="12089" width="1.7109375" style="31"/>
    <col min="12090" max="12090" width="10.28515625" style="31" bestFit="1" customWidth="1"/>
    <col min="12091" max="12312" width="1.7109375" style="31"/>
    <col min="12313" max="12314" width="2" style="31" customWidth="1"/>
    <col min="12315" max="12341" width="1.7109375" style="31"/>
    <col min="12342" max="12344" width="2" style="31" customWidth="1"/>
    <col min="12345" max="12345" width="1.7109375" style="31"/>
    <col min="12346" max="12346" width="10.28515625" style="31" bestFit="1" customWidth="1"/>
    <col min="12347" max="12568" width="1.7109375" style="31"/>
    <col min="12569" max="12570" width="2" style="31" customWidth="1"/>
    <col min="12571" max="12597" width="1.7109375" style="31"/>
    <col min="12598" max="12600" width="2" style="31" customWidth="1"/>
    <col min="12601" max="12601" width="1.7109375" style="31"/>
    <col min="12602" max="12602" width="10.28515625" style="31" bestFit="1" customWidth="1"/>
    <col min="12603" max="12824" width="1.7109375" style="31"/>
    <col min="12825" max="12826" width="2" style="31" customWidth="1"/>
    <col min="12827" max="12853" width="1.7109375" style="31"/>
    <col min="12854" max="12856" width="2" style="31" customWidth="1"/>
    <col min="12857" max="12857" width="1.7109375" style="31"/>
    <col min="12858" max="12858" width="10.28515625" style="31" bestFit="1" customWidth="1"/>
    <col min="12859" max="13080" width="1.7109375" style="31"/>
    <col min="13081" max="13082" width="2" style="31" customWidth="1"/>
    <col min="13083" max="13109" width="1.7109375" style="31"/>
    <col min="13110" max="13112" width="2" style="31" customWidth="1"/>
    <col min="13113" max="13113" width="1.7109375" style="31"/>
    <col min="13114" max="13114" width="10.28515625" style="31" bestFit="1" customWidth="1"/>
    <col min="13115" max="13336" width="1.7109375" style="31"/>
    <col min="13337" max="13338" width="2" style="31" customWidth="1"/>
    <col min="13339" max="13365" width="1.7109375" style="31"/>
    <col min="13366" max="13368" width="2" style="31" customWidth="1"/>
    <col min="13369" max="13369" width="1.7109375" style="31"/>
    <col min="13370" max="13370" width="10.28515625" style="31" bestFit="1" customWidth="1"/>
    <col min="13371" max="13592" width="1.7109375" style="31"/>
    <col min="13593" max="13594" width="2" style="31" customWidth="1"/>
    <col min="13595" max="13621" width="1.7109375" style="31"/>
    <col min="13622" max="13624" width="2" style="31" customWidth="1"/>
    <col min="13625" max="13625" width="1.7109375" style="31"/>
    <col min="13626" max="13626" width="10.28515625" style="31" bestFit="1" customWidth="1"/>
    <col min="13627" max="13848" width="1.7109375" style="31"/>
    <col min="13849" max="13850" width="2" style="31" customWidth="1"/>
    <col min="13851" max="13877" width="1.7109375" style="31"/>
    <col min="13878" max="13880" width="2" style="31" customWidth="1"/>
    <col min="13881" max="13881" width="1.7109375" style="31"/>
    <col min="13882" max="13882" width="10.28515625" style="31" bestFit="1" customWidth="1"/>
    <col min="13883" max="14104" width="1.7109375" style="31"/>
    <col min="14105" max="14106" width="2" style="31" customWidth="1"/>
    <col min="14107" max="14133" width="1.7109375" style="31"/>
    <col min="14134" max="14136" width="2" style="31" customWidth="1"/>
    <col min="14137" max="14137" width="1.7109375" style="31"/>
    <col min="14138" max="14138" width="10.28515625" style="31" bestFit="1" customWidth="1"/>
    <col min="14139" max="14360" width="1.7109375" style="31"/>
    <col min="14361" max="14362" width="2" style="31" customWidth="1"/>
    <col min="14363" max="14389" width="1.7109375" style="31"/>
    <col min="14390" max="14392" width="2" style="31" customWidth="1"/>
    <col min="14393" max="14393" width="1.7109375" style="31"/>
    <col min="14394" max="14394" width="10.28515625" style="31" bestFit="1" customWidth="1"/>
    <col min="14395" max="14616" width="1.7109375" style="31"/>
    <col min="14617" max="14618" width="2" style="31" customWidth="1"/>
    <col min="14619" max="14645" width="1.7109375" style="31"/>
    <col min="14646" max="14648" width="2" style="31" customWidth="1"/>
    <col min="14649" max="14649" width="1.7109375" style="31"/>
    <col min="14650" max="14650" width="10.28515625" style="31" bestFit="1" customWidth="1"/>
    <col min="14651" max="14872" width="1.7109375" style="31"/>
    <col min="14873" max="14874" width="2" style="31" customWidth="1"/>
    <col min="14875" max="14901" width="1.7109375" style="31"/>
    <col min="14902" max="14904" width="2" style="31" customWidth="1"/>
    <col min="14905" max="14905" width="1.7109375" style="31"/>
    <col min="14906" max="14906" width="10.28515625" style="31" bestFit="1" customWidth="1"/>
    <col min="14907" max="15128" width="1.7109375" style="31"/>
    <col min="15129" max="15130" width="2" style="31" customWidth="1"/>
    <col min="15131" max="15157" width="1.7109375" style="31"/>
    <col min="15158" max="15160" width="2" style="31" customWidth="1"/>
    <col min="15161" max="15161" width="1.7109375" style="31"/>
    <col min="15162" max="15162" width="10.28515625" style="31" bestFit="1" customWidth="1"/>
    <col min="15163" max="15384" width="1.7109375" style="31"/>
    <col min="15385" max="15386" width="2" style="31" customWidth="1"/>
    <col min="15387" max="15413" width="1.7109375" style="31"/>
    <col min="15414" max="15416" width="2" style="31" customWidth="1"/>
    <col min="15417" max="15417" width="1.7109375" style="31"/>
    <col min="15418" max="15418" width="10.28515625" style="31" bestFit="1" customWidth="1"/>
    <col min="15419" max="15640" width="1.7109375" style="31"/>
    <col min="15641" max="15642" width="2" style="31" customWidth="1"/>
    <col min="15643" max="15669" width="1.7109375" style="31"/>
    <col min="15670" max="15672" width="2" style="31" customWidth="1"/>
    <col min="15673" max="15673" width="1.7109375" style="31"/>
    <col min="15674" max="15674" width="10.28515625" style="31" bestFit="1" customWidth="1"/>
    <col min="15675" max="15896" width="1.7109375" style="31"/>
    <col min="15897" max="15898" width="2" style="31" customWidth="1"/>
    <col min="15899" max="15925" width="1.7109375" style="31"/>
    <col min="15926" max="15928" width="2" style="31" customWidth="1"/>
    <col min="15929" max="15929" width="1.7109375" style="31"/>
    <col min="15930" max="15930" width="10.28515625" style="31" bestFit="1" customWidth="1"/>
    <col min="15931" max="16152" width="1.7109375" style="31"/>
    <col min="16153" max="16154" width="2" style="31" customWidth="1"/>
    <col min="16155" max="16181" width="1.7109375" style="31"/>
    <col min="16182" max="16184" width="2" style="31" customWidth="1"/>
    <col min="16185" max="16185" width="1.7109375" style="31"/>
    <col min="16186" max="16186" width="10.28515625" style="31" bestFit="1" customWidth="1"/>
    <col min="16187" max="16384" width="1.7109375" style="31"/>
  </cols>
  <sheetData>
    <row r="1" spans="1:80" ht="13.5" customHeight="1" thickBot="1" x14ac:dyDescent="0.25">
      <c r="A1" s="1" t="s">
        <v>0</v>
      </c>
      <c r="B1" s="2" t="s">
        <v>1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  <c r="U1" t="s">
        <v>2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6"/>
      <c r="BG1" s="6"/>
      <c r="BH1" s="6"/>
      <c r="BI1" s="6"/>
      <c r="BJ1" s="6"/>
      <c r="BK1" s="6"/>
      <c r="BL1" s="6"/>
      <c r="BM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8"/>
    </row>
    <row r="2" spans="1:80" ht="12" customHeight="1" thickTop="1" x14ac:dyDescent="0.2">
      <c r="A2" s="5"/>
      <c r="B2" s="10" t="s">
        <v>3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2" t="s">
        <v>4</v>
      </c>
      <c r="O2" s="13"/>
      <c r="P2" s="14"/>
      <c r="Q2" s="10" t="s">
        <v>3</v>
      </c>
      <c r="R2" s="11"/>
      <c r="S2" s="11"/>
      <c r="T2" s="11"/>
      <c r="U2" s="11"/>
      <c r="V2" s="11"/>
      <c r="W2" s="11"/>
      <c r="X2" s="11"/>
      <c r="Y2" s="11"/>
      <c r="Z2" s="11"/>
      <c r="AA2" s="12" t="s">
        <v>4</v>
      </c>
      <c r="AB2" s="13"/>
      <c r="AC2" s="14"/>
      <c r="AD2" s="15" t="s">
        <v>5</v>
      </c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7"/>
      <c r="AQ2" s="11" t="s">
        <v>6</v>
      </c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8" t="s">
        <v>4</v>
      </c>
      <c r="BC2" s="18"/>
      <c r="BD2" s="19"/>
      <c r="BE2" s="5"/>
      <c r="BF2" s="6"/>
      <c r="BG2" s="6"/>
      <c r="BH2" s="6"/>
      <c r="BI2" s="6"/>
      <c r="BJ2" s="6"/>
      <c r="BK2" s="6"/>
      <c r="BL2" s="6"/>
      <c r="BM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8"/>
      <c r="CB2" s="8"/>
    </row>
    <row r="3" spans="1:80" ht="12" customHeight="1" x14ac:dyDescent="0.2">
      <c r="A3" s="5"/>
      <c r="B3" s="20"/>
      <c r="C3" s="21"/>
      <c r="D3" s="21"/>
      <c r="E3" s="21"/>
      <c r="F3" s="21"/>
      <c r="G3" s="21"/>
      <c r="H3" s="21"/>
      <c r="I3" s="21"/>
      <c r="J3" s="21"/>
      <c r="K3" s="21"/>
      <c r="L3" s="21"/>
      <c r="M3" s="22"/>
      <c r="N3" s="23"/>
      <c r="O3" s="24"/>
      <c r="P3" s="25"/>
      <c r="Q3" s="26"/>
      <c r="R3" s="27"/>
      <c r="S3" s="27"/>
      <c r="T3" s="27"/>
      <c r="U3" s="27"/>
      <c r="V3" s="27"/>
      <c r="W3" s="27"/>
      <c r="X3" s="27"/>
      <c r="Y3" s="27"/>
      <c r="Z3" s="28"/>
      <c r="AA3" s="23"/>
      <c r="AB3" s="24"/>
      <c r="AC3" s="25"/>
      <c r="AD3" s="26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8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3"/>
      <c r="BC3" s="24"/>
      <c r="BD3" s="25"/>
      <c r="BE3" s="5"/>
      <c r="BF3" s="30"/>
      <c r="BG3" s="6"/>
      <c r="BH3" s="6"/>
      <c r="BI3" s="6"/>
      <c r="BJ3" s="6"/>
      <c r="BK3" s="6"/>
      <c r="BL3" s="6"/>
      <c r="BM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8"/>
      <c r="CB3" s="8"/>
    </row>
    <row r="4" spans="1:80" ht="12" customHeight="1" x14ac:dyDescent="0.2">
      <c r="A4" s="5"/>
      <c r="B4" s="20"/>
      <c r="C4" s="21"/>
      <c r="D4" s="21"/>
      <c r="E4" s="21"/>
      <c r="F4" s="21"/>
      <c r="G4" s="21"/>
      <c r="H4" s="21"/>
      <c r="I4" s="21"/>
      <c r="J4" s="21"/>
      <c r="K4" s="21"/>
      <c r="L4" s="21"/>
      <c r="M4" s="22"/>
      <c r="N4" s="23"/>
      <c r="O4" s="24"/>
      <c r="P4" s="25"/>
      <c r="Q4" s="26"/>
      <c r="R4" s="27"/>
      <c r="S4" s="27"/>
      <c r="T4" s="27"/>
      <c r="U4" s="27"/>
      <c r="V4" s="27"/>
      <c r="W4" s="27"/>
      <c r="X4" s="27"/>
      <c r="Y4" s="27"/>
      <c r="Z4" s="28"/>
      <c r="AA4" s="23"/>
      <c r="AB4" s="24"/>
      <c r="AC4" s="25"/>
      <c r="AD4" s="26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8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3"/>
      <c r="BC4" s="24"/>
      <c r="BD4" s="25"/>
      <c r="BE4" s="5"/>
      <c r="BF4" s="30"/>
      <c r="BG4" s="6"/>
      <c r="BH4" s="6"/>
      <c r="BI4" s="6"/>
      <c r="BJ4" s="6"/>
      <c r="BK4" s="6"/>
      <c r="BL4" s="6"/>
      <c r="BM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8"/>
      <c r="CB4" s="8"/>
    </row>
    <row r="5" spans="1:80" ht="12" customHeight="1" x14ac:dyDescent="0.2">
      <c r="A5" s="5"/>
      <c r="B5" s="20"/>
      <c r="C5" s="21"/>
      <c r="D5" s="21"/>
      <c r="E5" s="21"/>
      <c r="F5" s="21"/>
      <c r="G5" s="21"/>
      <c r="H5" s="21"/>
      <c r="I5" s="21"/>
      <c r="J5" s="21"/>
      <c r="K5" s="21"/>
      <c r="L5" s="21"/>
      <c r="M5" s="22"/>
      <c r="N5" s="23"/>
      <c r="O5" s="24"/>
      <c r="P5" s="25"/>
      <c r="Q5" s="26"/>
      <c r="R5" s="27"/>
      <c r="S5" s="27"/>
      <c r="T5" s="27"/>
      <c r="U5" s="27"/>
      <c r="V5" s="27"/>
      <c r="W5" s="27"/>
      <c r="X5" s="27"/>
      <c r="Y5" s="27"/>
      <c r="Z5" s="28"/>
      <c r="AA5" s="23"/>
      <c r="AB5" s="24"/>
      <c r="AC5" s="25"/>
      <c r="AD5" s="26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8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3"/>
      <c r="BC5" s="24"/>
      <c r="BD5" s="25"/>
      <c r="BE5" s="5"/>
      <c r="BF5" s="30"/>
      <c r="BG5" s="6"/>
      <c r="BH5" s="6"/>
      <c r="BI5" s="6"/>
      <c r="BJ5" s="6"/>
      <c r="BK5" s="6"/>
      <c r="BL5" s="6"/>
      <c r="BM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8"/>
      <c r="CB5" s="8"/>
    </row>
    <row r="6" spans="1:80" ht="12" customHeight="1" x14ac:dyDescent="0.2">
      <c r="A6" s="5"/>
      <c r="B6" s="20"/>
      <c r="C6" s="21"/>
      <c r="D6" s="21"/>
      <c r="E6" s="21"/>
      <c r="F6" s="21"/>
      <c r="G6" s="21"/>
      <c r="H6" s="21"/>
      <c r="I6" s="21"/>
      <c r="J6" s="21"/>
      <c r="K6" s="21"/>
      <c r="L6" s="21"/>
      <c r="M6" s="22"/>
      <c r="N6" s="23"/>
      <c r="O6" s="24"/>
      <c r="P6" s="25"/>
      <c r="Q6" s="26"/>
      <c r="R6" s="27"/>
      <c r="S6" s="27"/>
      <c r="T6" s="27"/>
      <c r="U6" s="27"/>
      <c r="V6" s="27"/>
      <c r="W6" s="27"/>
      <c r="X6" s="27"/>
      <c r="Y6" s="27"/>
      <c r="Z6" s="28"/>
      <c r="AA6" s="23"/>
      <c r="AB6" s="24"/>
      <c r="AC6" s="25"/>
      <c r="AD6" s="26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8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3"/>
      <c r="BC6" s="24"/>
      <c r="BD6" s="25"/>
      <c r="BE6" s="5"/>
      <c r="BF6" s="30"/>
      <c r="BG6" s="6"/>
      <c r="BH6" s="6"/>
      <c r="BI6" s="6"/>
      <c r="BJ6" s="6"/>
      <c r="BK6" s="6"/>
      <c r="BL6" s="6"/>
      <c r="BM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8"/>
      <c r="CB6" s="8"/>
    </row>
    <row r="7" spans="1:80" ht="12" customHeight="1" x14ac:dyDescent="0.2">
      <c r="A7" s="5"/>
      <c r="B7" s="20"/>
      <c r="C7" s="21"/>
      <c r="D7" s="21"/>
      <c r="E7" s="21"/>
      <c r="F7" s="21"/>
      <c r="G7" s="21"/>
      <c r="H7" s="21"/>
      <c r="I7" s="21"/>
      <c r="J7" s="21"/>
      <c r="K7" s="21"/>
      <c r="L7" s="21"/>
      <c r="M7" s="22"/>
      <c r="N7" s="23"/>
      <c r="O7" s="24"/>
      <c r="P7" s="25"/>
      <c r="Q7" s="26"/>
      <c r="R7" s="27"/>
      <c r="S7" s="27"/>
      <c r="T7" s="27"/>
      <c r="U7" s="27"/>
      <c r="V7" s="27"/>
      <c r="W7" s="27"/>
      <c r="X7" s="27"/>
      <c r="Y7" s="27"/>
      <c r="Z7" s="28"/>
      <c r="AA7" s="23"/>
      <c r="AB7" s="24"/>
      <c r="AC7" s="25"/>
      <c r="AD7" s="26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8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3"/>
      <c r="BC7" s="24"/>
      <c r="BD7" s="25"/>
      <c r="BE7" s="5"/>
      <c r="BF7" s="30"/>
      <c r="BG7" s="6"/>
      <c r="BH7" s="6"/>
      <c r="BI7" s="6"/>
      <c r="BJ7" s="6"/>
      <c r="BK7" s="6"/>
      <c r="BL7" s="6"/>
      <c r="BM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8"/>
      <c r="CB7" s="8"/>
    </row>
    <row r="8" spans="1:80" ht="12" customHeight="1" x14ac:dyDescent="0.2">
      <c r="A8" s="5"/>
      <c r="B8" s="20"/>
      <c r="C8" s="21"/>
      <c r="D8" s="21"/>
      <c r="E8" s="21"/>
      <c r="F8" s="21"/>
      <c r="G8" s="21"/>
      <c r="H8" s="21"/>
      <c r="I8" s="21"/>
      <c r="J8" s="21"/>
      <c r="K8" s="21"/>
      <c r="L8" s="21"/>
      <c r="M8" s="22"/>
      <c r="N8" s="23"/>
      <c r="O8" s="24"/>
      <c r="P8" s="25"/>
      <c r="Q8" s="26"/>
      <c r="R8" s="27"/>
      <c r="S8" s="27"/>
      <c r="T8" s="27"/>
      <c r="U8" s="27"/>
      <c r="V8" s="27"/>
      <c r="W8" s="27"/>
      <c r="X8" s="27"/>
      <c r="Y8" s="27"/>
      <c r="Z8" s="28"/>
      <c r="AA8" s="23"/>
      <c r="AB8" s="24"/>
      <c r="AC8" s="25"/>
      <c r="AD8" s="26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3"/>
      <c r="BC8" s="24"/>
      <c r="BD8" s="25"/>
      <c r="BE8" s="5"/>
      <c r="BF8" s="30"/>
      <c r="BG8" s="6"/>
      <c r="BH8" s="6"/>
      <c r="BI8" s="6"/>
      <c r="BJ8" s="6"/>
      <c r="BK8" s="6"/>
      <c r="BL8" s="6"/>
      <c r="BM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8"/>
      <c r="CB8" s="8"/>
    </row>
    <row r="9" spans="1:80" ht="12" customHeight="1" x14ac:dyDescent="0.2">
      <c r="A9" s="5"/>
      <c r="B9" s="20"/>
      <c r="C9" s="21"/>
      <c r="D9" s="21"/>
      <c r="E9" s="21"/>
      <c r="F9" s="21"/>
      <c r="G9" s="21"/>
      <c r="H9" s="21"/>
      <c r="I9" s="21"/>
      <c r="J9" s="21"/>
      <c r="K9" s="21"/>
      <c r="L9" s="21"/>
      <c r="M9" s="22"/>
      <c r="N9" s="23"/>
      <c r="O9" s="24"/>
      <c r="P9" s="25"/>
      <c r="Q9" s="26"/>
      <c r="R9" s="27"/>
      <c r="S9" s="27"/>
      <c r="T9" s="27"/>
      <c r="U9" s="27"/>
      <c r="V9" s="27"/>
      <c r="W9" s="27"/>
      <c r="X9" s="27"/>
      <c r="Y9" s="27"/>
      <c r="Z9" s="28"/>
      <c r="AA9" s="23"/>
      <c r="AB9" s="24"/>
      <c r="AC9" s="25"/>
      <c r="AD9" s="26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8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3"/>
      <c r="BC9" s="24"/>
      <c r="BD9" s="25"/>
      <c r="BE9" s="5"/>
      <c r="BF9" s="30"/>
      <c r="BG9" s="6"/>
      <c r="BH9" s="6"/>
      <c r="BI9" s="6"/>
      <c r="BJ9" s="6"/>
      <c r="BK9" s="6"/>
      <c r="BL9" s="6"/>
      <c r="BM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8"/>
      <c r="CB9" s="8"/>
    </row>
    <row r="10" spans="1:80" ht="12" customHeight="1" x14ac:dyDescent="0.2">
      <c r="A10" s="5"/>
      <c r="B10" s="20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2"/>
      <c r="N10" s="23"/>
      <c r="O10" s="24"/>
      <c r="P10" s="25"/>
      <c r="Q10" s="26"/>
      <c r="R10" s="27"/>
      <c r="S10" s="27"/>
      <c r="T10" s="27"/>
      <c r="U10" s="27"/>
      <c r="V10" s="27"/>
      <c r="W10" s="27"/>
      <c r="X10" s="27"/>
      <c r="Y10" s="27"/>
      <c r="Z10" s="28"/>
      <c r="AA10" s="23"/>
      <c r="AB10" s="24"/>
      <c r="AC10" s="25"/>
      <c r="AD10" s="26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3"/>
      <c r="BC10" s="24"/>
      <c r="BD10" s="25"/>
      <c r="BE10" s="5"/>
      <c r="BF10" s="30"/>
      <c r="BG10" s="6"/>
      <c r="BH10" s="6"/>
      <c r="BI10" s="6"/>
      <c r="BJ10" s="6"/>
      <c r="BK10" s="6"/>
      <c r="BL10" s="6"/>
      <c r="BM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8"/>
      <c r="CB10" s="8"/>
    </row>
    <row r="11" spans="1:80" ht="12" customHeight="1" x14ac:dyDescent="0.2">
      <c r="A11" s="5"/>
      <c r="B11" s="20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2"/>
      <c r="N11" s="23"/>
      <c r="O11" s="24"/>
      <c r="P11" s="25"/>
      <c r="Q11" s="26"/>
      <c r="R11" s="27"/>
      <c r="S11" s="27"/>
      <c r="T11" s="27"/>
      <c r="U11" s="27"/>
      <c r="V11" s="27"/>
      <c r="W11" s="27"/>
      <c r="X11" s="27"/>
      <c r="Y11" s="27"/>
      <c r="Z11" s="28"/>
      <c r="AA11" s="23"/>
      <c r="AB11" s="24"/>
      <c r="AC11" s="25"/>
      <c r="AD11" s="26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8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3"/>
      <c r="BC11" s="24"/>
      <c r="BD11" s="25"/>
      <c r="BE11" s="5"/>
      <c r="BF11" s="30"/>
      <c r="BG11" s="6"/>
      <c r="BH11" s="6"/>
      <c r="BI11" s="6"/>
      <c r="BJ11" s="6"/>
      <c r="BK11" s="6"/>
      <c r="BL11" s="6"/>
      <c r="BM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8"/>
      <c r="CB11" s="8"/>
    </row>
    <row r="12" spans="1:80" ht="12" customHeight="1" x14ac:dyDescent="0.2">
      <c r="A12" s="5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2"/>
      <c r="N12" s="23"/>
      <c r="O12" s="24"/>
      <c r="P12" s="25"/>
      <c r="Q12" s="26"/>
      <c r="R12" s="27"/>
      <c r="S12" s="27"/>
      <c r="T12" s="27"/>
      <c r="U12" s="27"/>
      <c r="V12" s="27"/>
      <c r="W12" s="27"/>
      <c r="X12" s="27"/>
      <c r="Y12" s="27"/>
      <c r="Z12" s="28"/>
      <c r="AA12" s="23"/>
      <c r="AB12" s="24"/>
      <c r="AC12" s="25"/>
      <c r="AD12" s="26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8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3"/>
      <c r="BC12" s="24"/>
      <c r="BD12" s="25"/>
      <c r="BE12" s="5"/>
      <c r="BF12" s="30"/>
      <c r="BG12" s="6"/>
      <c r="BH12" s="6"/>
      <c r="BI12" s="6"/>
      <c r="BJ12" s="6"/>
      <c r="BK12" s="6"/>
      <c r="BL12" s="6"/>
      <c r="BM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8"/>
      <c r="CB12" s="8"/>
    </row>
    <row r="13" spans="1:80" ht="12" customHeight="1" x14ac:dyDescent="0.2">
      <c r="A13" s="5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2"/>
      <c r="N13" s="23"/>
      <c r="O13" s="24"/>
      <c r="P13" s="25"/>
      <c r="Q13" s="26"/>
      <c r="R13" s="27"/>
      <c r="S13" s="27"/>
      <c r="T13" s="27"/>
      <c r="U13" s="27"/>
      <c r="V13" s="27"/>
      <c r="W13" s="27"/>
      <c r="X13" s="27"/>
      <c r="Y13" s="27"/>
      <c r="Z13" s="28"/>
      <c r="AA13" s="23"/>
      <c r="AB13" s="24"/>
      <c r="AC13" s="25"/>
      <c r="AD13" s="26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8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3"/>
      <c r="BC13" s="24"/>
      <c r="BD13" s="25"/>
      <c r="BE13" s="5"/>
      <c r="BF13" s="30"/>
      <c r="BG13" s="6"/>
      <c r="BH13" s="6"/>
      <c r="BI13" s="6"/>
      <c r="BJ13" s="6"/>
      <c r="BK13" s="6"/>
      <c r="BL13" s="6"/>
      <c r="BM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8"/>
      <c r="CB13" s="8"/>
    </row>
    <row r="14" spans="1:80" ht="12" customHeight="1" x14ac:dyDescent="0.2">
      <c r="A14" s="5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2"/>
      <c r="N14" s="23"/>
      <c r="O14" s="24"/>
      <c r="P14" s="25"/>
      <c r="Q14" s="26"/>
      <c r="R14" s="27"/>
      <c r="S14" s="27"/>
      <c r="T14" s="27"/>
      <c r="U14" s="27"/>
      <c r="V14" s="27"/>
      <c r="W14" s="27"/>
      <c r="X14" s="27"/>
      <c r="Y14" s="27"/>
      <c r="Z14" s="28"/>
      <c r="AA14" s="23"/>
      <c r="AB14" s="24"/>
      <c r="AC14" s="25"/>
      <c r="AD14" s="26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8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3"/>
      <c r="BC14" s="24"/>
      <c r="BD14" s="25"/>
      <c r="BE14" s="5"/>
      <c r="BF14" s="30"/>
      <c r="BG14" s="6"/>
      <c r="BH14" s="6"/>
      <c r="BI14" s="6"/>
      <c r="BJ14" s="6"/>
      <c r="BK14" s="6"/>
      <c r="BL14" s="6"/>
      <c r="BM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8"/>
      <c r="CB14" s="8"/>
    </row>
    <row r="15" spans="1:80" ht="12" customHeight="1" x14ac:dyDescent="0.2">
      <c r="A15" s="5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2"/>
      <c r="N15" s="23"/>
      <c r="O15" s="24"/>
      <c r="P15" s="25"/>
      <c r="Q15" s="26"/>
      <c r="R15" s="27"/>
      <c r="S15" s="27"/>
      <c r="T15" s="27"/>
      <c r="U15" s="27"/>
      <c r="V15" s="27"/>
      <c r="W15" s="27"/>
      <c r="X15" s="27"/>
      <c r="Y15" s="27"/>
      <c r="Z15" s="28"/>
      <c r="AA15" s="23"/>
      <c r="AB15" s="24"/>
      <c r="AC15" s="25"/>
      <c r="AD15" s="26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8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3"/>
      <c r="BC15" s="24"/>
      <c r="BD15" s="25"/>
      <c r="BE15" s="5"/>
      <c r="BF15" s="30"/>
      <c r="BG15" s="6"/>
      <c r="BH15" s="6"/>
      <c r="BI15" s="6"/>
      <c r="BJ15" s="6"/>
      <c r="BK15" s="6"/>
      <c r="BL15" s="6"/>
      <c r="BM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8"/>
      <c r="CB15" s="8"/>
    </row>
    <row r="16" spans="1:80" ht="12" customHeight="1" x14ac:dyDescent="0.2">
      <c r="A16" s="5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2"/>
      <c r="N16" s="23"/>
      <c r="O16" s="24"/>
      <c r="P16" s="25"/>
      <c r="Q16" s="26"/>
      <c r="R16" s="27"/>
      <c r="S16" s="27"/>
      <c r="T16" s="27"/>
      <c r="U16" s="27"/>
      <c r="V16" s="27"/>
      <c r="W16" s="27"/>
      <c r="X16" s="27"/>
      <c r="Y16" s="27"/>
      <c r="Z16" s="28"/>
      <c r="AA16" s="23"/>
      <c r="AB16" s="24"/>
      <c r="AC16" s="25"/>
      <c r="AD16" s="26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8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3"/>
      <c r="BC16" s="24"/>
      <c r="BD16" s="25"/>
      <c r="BE16" s="5"/>
      <c r="BF16" s="30"/>
      <c r="BG16" s="6"/>
      <c r="BH16" s="6"/>
      <c r="BI16" s="6"/>
      <c r="BJ16" s="6"/>
      <c r="BK16" s="6"/>
      <c r="BL16" s="6"/>
      <c r="BM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8"/>
      <c r="CB16" s="8"/>
    </row>
    <row r="17" spans="1:80" ht="12" customHeight="1" x14ac:dyDescent="0.2">
      <c r="A17" s="5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2"/>
      <c r="N17" s="23"/>
      <c r="O17" s="24"/>
      <c r="P17" s="25"/>
      <c r="Q17" s="26"/>
      <c r="R17" s="27"/>
      <c r="S17" s="27"/>
      <c r="T17" s="27"/>
      <c r="U17" s="27"/>
      <c r="V17" s="27"/>
      <c r="W17" s="27"/>
      <c r="X17" s="27"/>
      <c r="Y17" s="27"/>
      <c r="Z17" s="28"/>
      <c r="AA17" s="23"/>
      <c r="AB17" s="24"/>
      <c r="AC17" s="25"/>
      <c r="AD17" s="26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8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3"/>
      <c r="BC17" s="24"/>
      <c r="BD17" s="25"/>
      <c r="BE17" s="5"/>
      <c r="BF17" s="30"/>
      <c r="BG17" s="6"/>
      <c r="BH17" s="6"/>
      <c r="BI17" s="6"/>
      <c r="BJ17" s="6"/>
      <c r="BK17" s="6"/>
      <c r="BL17" s="6"/>
      <c r="BM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8"/>
      <c r="CB17" s="8"/>
    </row>
    <row r="18" spans="1:80" ht="12" customHeight="1" x14ac:dyDescent="0.2">
      <c r="A18" s="5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2"/>
      <c r="N18" s="23"/>
      <c r="O18" s="24"/>
      <c r="P18" s="25"/>
      <c r="Q18" s="26"/>
      <c r="R18" s="27"/>
      <c r="S18" s="27"/>
      <c r="T18" s="27"/>
      <c r="U18" s="27"/>
      <c r="V18" s="27"/>
      <c r="W18" s="27"/>
      <c r="X18" s="27"/>
      <c r="Y18" s="27"/>
      <c r="Z18" s="28"/>
      <c r="AA18" s="23"/>
      <c r="AB18" s="24"/>
      <c r="AC18" s="25"/>
      <c r="AD18" s="26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8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3"/>
      <c r="BC18" s="24"/>
      <c r="BD18" s="25"/>
      <c r="BE18" s="5"/>
      <c r="BF18" s="30"/>
      <c r="BG18" s="6"/>
      <c r="BH18" s="6"/>
      <c r="BI18" s="6"/>
      <c r="BJ18" s="6"/>
      <c r="BK18" s="6"/>
      <c r="BL18" s="6"/>
      <c r="BM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8"/>
      <c r="CB18" s="8"/>
    </row>
    <row r="19" spans="1:80" ht="12" customHeight="1" x14ac:dyDescent="0.2">
      <c r="A19" s="5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2"/>
      <c r="N19" s="23"/>
      <c r="O19" s="24"/>
      <c r="P19" s="25"/>
      <c r="Q19" s="26"/>
      <c r="R19" s="27"/>
      <c r="S19" s="27"/>
      <c r="T19" s="27"/>
      <c r="U19" s="27"/>
      <c r="V19" s="27"/>
      <c r="W19" s="27"/>
      <c r="X19" s="27"/>
      <c r="Y19" s="27"/>
      <c r="Z19" s="28"/>
      <c r="AA19" s="23"/>
      <c r="AB19" s="24"/>
      <c r="AC19" s="25"/>
      <c r="AD19" s="26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8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3"/>
      <c r="BC19" s="24"/>
      <c r="BD19" s="25"/>
      <c r="BE19" s="5"/>
      <c r="BF19" s="30"/>
      <c r="BG19" s="6"/>
      <c r="BH19" s="6"/>
      <c r="BI19" s="6"/>
      <c r="BJ19" s="6"/>
      <c r="BK19" s="6"/>
      <c r="BL19" s="6"/>
      <c r="BM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8"/>
      <c r="CB19" s="8"/>
    </row>
    <row r="20" spans="1:80" ht="12" customHeight="1" x14ac:dyDescent="0.2">
      <c r="A20" s="5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2"/>
      <c r="N20" s="23"/>
      <c r="O20" s="24"/>
      <c r="P20" s="25"/>
      <c r="Q20" s="26"/>
      <c r="R20" s="27"/>
      <c r="S20" s="27"/>
      <c r="T20" s="27"/>
      <c r="U20" s="27"/>
      <c r="V20" s="27"/>
      <c r="W20" s="27"/>
      <c r="X20" s="27"/>
      <c r="Y20" s="27"/>
      <c r="Z20" s="28"/>
      <c r="AA20" s="23"/>
      <c r="AB20" s="24"/>
      <c r="AC20" s="25"/>
      <c r="AD20" s="26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8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3"/>
      <c r="BC20" s="24"/>
      <c r="BD20" s="25"/>
      <c r="BE20" s="5"/>
      <c r="BF20" s="30"/>
      <c r="BG20" s="6"/>
      <c r="BH20" s="6"/>
      <c r="BI20" s="6"/>
      <c r="BJ20" s="6"/>
      <c r="BK20" s="6"/>
      <c r="BL20" s="6"/>
      <c r="BM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8"/>
      <c r="CB20" s="8"/>
    </row>
    <row r="21" spans="1:80" ht="12" customHeight="1" x14ac:dyDescent="0.2">
      <c r="A21" s="5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2"/>
      <c r="N21" s="23"/>
      <c r="O21" s="24"/>
      <c r="P21" s="25"/>
      <c r="Q21" s="26"/>
      <c r="R21" s="27"/>
      <c r="S21" s="27"/>
      <c r="T21" s="27"/>
      <c r="U21" s="27"/>
      <c r="V21" s="27"/>
      <c r="W21" s="27"/>
      <c r="X21" s="27"/>
      <c r="Y21" s="27"/>
      <c r="Z21" s="28"/>
      <c r="AA21" s="23"/>
      <c r="AB21" s="24"/>
      <c r="AC21" s="25"/>
      <c r="AD21" s="26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8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3"/>
      <c r="BC21" s="24"/>
      <c r="BD21" s="25"/>
      <c r="BE21" s="5"/>
      <c r="BF21" s="30"/>
      <c r="BG21" s="6"/>
      <c r="BH21" s="6"/>
      <c r="BI21" s="6"/>
      <c r="BJ21" s="6"/>
      <c r="BK21" s="6"/>
      <c r="BL21" s="6"/>
      <c r="BM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8"/>
      <c r="CB21" s="8"/>
    </row>
    <row r="22" spans="1:80" ht="12" customHeight="1" x14ac:dyDescent="0.2">
      <c r="A22" s="5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2"/>
      <c r="N22" s="23"/>
      <c r="O22" s="24"/>
      <c r="P22" s="25"/>
      <c r="Q22" s="26"/>
      <c r="R22" s="27"/>
      <c r="S22" s="27"/>
      <c r="T22" s="27"/>
      <c r="U22" s="27"/>
      <c r="V22" s="27"/>
      <c r="W22" s="27"/>
      <c r="X22" s="27"/>
      <c r="Y22" s="27"/>
      <c r="Z22" s="28"/>
      <c r="AA22" s="23"/>
      <c r="AB22" s="24"/>
      <c r="AC22" s="25"/>
      <c r="AD22" s="26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8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3"/>
      <c r="BC22" s="24"/>
      <c r="BD22" s="25"/>
      <c r="BE22" s="5"/>
      <c r="BF22" s="30"/>
      <c r="BG22" s="6"/>
      <c r="BH22" s="6"/>
      <c r="BI22" s="6"/>
      <c r="BJ22" s="6"/>
      <c r="BK22" s="6"/>
      <c r="BL22" s="6"/>
      <c r="BM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8"/>
      <c r="CB22" s="8"/>
    </row>
    <row r="23" spans="1:80" ht="12" customHeight="1" x14ac:dyDescent="0.2">
      <c r="A23" s="5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2"/>
      <c r="N23" s="23"/>
      <c r="O23" s="24"/>
      <c r="P23" s="25"/>
      <c r="Q23" s="26"/>
      <c r="R23" s="27"/>
      <c r="S23" s="27"/>
      <c r="T23" s="27"/>
      <c r="U23" s="27"/>
      <c r="V23" s="27"/>
      <c r="W23" s="27"/>
      <c r="X23" s="27"/>
      <c r="Y23" s="27"/>
      <c r="Z23" s="28"/>
      <c r="AA23" s="23"/>
      <c r="AB23" s="24"/>
      <c r="AC23" s="25"/>
      <c r="AD23" s="26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8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3"/>
      <c r="BC23" s="24"/>
      <c r="BD23" s="25"/>
      <c r="BE23" s="5"/>
      <c r="BF23" s="30"/>
      <c r="BG23" s="6"/>
      <c r="BH23" s="6"/>
      <c r="BI23" s="6"/>
      <c r="BJ23" s="6"/>
      <c r="BK23" s="6"/>
      <c r="BL23" s="6"/>
      <c r="BM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8"/>
      <c r="CB23" s="8"/>
    </row>
    <row r="24" spans="1:80" ht="12" customHeight="1" x14ac:dyDescent="0.2">
      <c r="A24" s="5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2"/>
      <c r="N24" s="23"/>
      <c r="O24" s="24"/>
      <c r="P24" s="25"/>
      <c r="Q24" s="26"/>
      <c r="R24" s="27"/>
      <c r="S24" s="27"/>
      <c r="T24" s="27"/>
      <c r="U24" s="27"/>
      <c r="V24" s="27"/>
      <c r="W24" s="27"/>
      <c r="X24" s="27"/>
      <c r="Y24" s="27"/>
      <c r="Z24" s="28"/>
      <c r="AA24" s="23"/>
      <c r="AB24" s="24"/>
      <c r="AC24" s="25"/>
      <c r="AD24" s="26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8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3"/>
      <c r="BC24" s="24"/>
      <c r="BD24" s="25"/>
      <c r="BE24" s="5"/>
      <c r="BF24" s="30"/>
      <c r="BG24" s="6"/>
      <c r="BH24" s="6"/>
      <c r="BI24" s="6"/>
      <c r="BJ24" s="6"/>
      <c r="BK24" s="6"/>
      <c r="BL24" s="6"/>
      <c r="BM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8"/>
      <c r="CB24" s="8"/>
    </row>
    <row r="25" spans="1:80" ht="12" customHeight="1" x14ac:dyDescent="0.2">
      <c r="A25" s="5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23"/>
      <c r="O25" s="24"/>
      <c r="P25" s="25"/>
      <c r="Q25" s="26"/>
      <c r="R25" s="27"/>
      <c r="S25" s="27"/>
      <c r="T25" s="27"/>
      <c r="U25" s="27"/>
      <c r="V25" s="27"/>
      <c r="W25" s="27"/>
      <c r="X25" s="27"/>
      <c r="Y25" s="27"/>
      <c r="Z25" s="28"/>
      <c r="AA25" s="23"/>
      <c r="AB25" s="24"/>
      <c r="AC25" s="25"/>
      <c r="AD25" s="26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8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3"/>
      <c r="BC25" s="24"/>
      <c r="BD25" s="25"/>
      <c r="BE25" s="5"/>
      <c r="BF25" s="30"/>
      <c r="BG25" s="6"/>
      <c r="BH25" s="6"/>
      <c r="BI25" s="6"/>
      <c r="BJ25" s="6"/>
      <c r="BK25" s="6"/>
      <c r="BL25" s="6"/>
      <c r="BM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8"/>
      <c r="CB25" s="8"/>
    </row>
    <row r="26" spans="1:80" ht="12" customHeight="1" x14ac:dyDescent="0.2">
      <c r="A26" s="5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23"/>
      <c r="O26" s="24"/>
      <c r="P26" s="25"/>
      <c r="Q26" s="26"/>
      <c r="R26" s="27"/>
      <c r="S26" s="27"/>
      <c r="T26" s="27"/>
      <c r="U26" s="27"/>
      <c r="V26" s="27"/>
      <c r="W26" s="27"/>
      <c r="X26" s="27"/>
      <c r="Y26" s="27"/>
      <c r="Z26" s="28"/>
      <c r="AA26" s="23"/>
      <c r="AB26" s="24"/>
      <c r="AC26" s="25"/>
      <c r="AD26" s="26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8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3"/>
      <c r="BC26" s="24"/>
      <c r="BD26" s="25"/>
      <c r="BE26" s="5"/>
      <c r="BF26" s="30"/>
      <c r="BG26" s="6"/>
      <c r="BH26" s="6"/>
      <c r="BI26" s="6"/>
      <c r="BJ26" s="6"/>
      <c r="BK26" s="6"/>
      <c r="BL26" s="6"/>
      <c r="BM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8"/>
      <c r="CB26" s="8"/>
    </row>
    <row r="27" spans="1:80" ht="12" customHeight="1" x14ac:dyDescent="0.2">
      <c r="A27" s="5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23"/>
      <c r="O27" s="24"/>
      <c r="P27" s="25"/>
      <c r="Q27" s="26"/>
      <c r="R27" s="27"/>
      <c r="S27" s="27"/>
      <c r="T27" s="27"/>
      <c r="U27" s="27"/>
      <c r="V27" s="27"/>
      <c r="W27" s="27"/>
      <c r="X27" s="27"/>
      <c r="Y27" s="27"/>
      <c r="Z27" s="28"/>
      <c r="AA27" s="23"/>
      <c r="AB27" s="24"/>
      <c r="AC27" s="25"/>
      <c r="AD27" s="26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8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3"/>
      <c r="BC27" s="24"/>
      <c r="BD27" s="25"/>
      <c r="BE27" s="5"/>
      <c r="BF27" s="30"/>
      <c r="BG27" s="6"/>
      <c r="BH27" s="6"/>
      <c r="BI27" s="6"/>
      <c r="BJ27" s="6"/>
      <c r="BK27" s="6"/>
      <c r="BL27" s="6"/>
      <c r="BM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8"/>
      <c r="CB27" s="8"/>
    </row>
    <row r="28" spans="1:80" ht="12" customHeight="1" x14ac:dyDescent="0.2">
      <c r="A28" s="5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23"/>
      <c r="O28" s="24"/>
      <c r="P28" s="25"/>
      <c r="Q28" s="26"/>
      <c r="R28" s="27"/>
      <c r="S28" s="27"/>
      <c r="T28" s="27"/>
      <c r="U28" s="27"/>
      <c r="V28" s="27"/>
      <c r="W28" s="27"/>
      <c r="X28" s="27"/>
      <c r="Y28" s="27"/>
      <c r="Z28" s="28"/>
      <c r="AA28" s="23"/>
      <c r="AB28" s="24"/>
      <c r="AC28" s="25"/>
      <c r="AD28" s="26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8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3"/>
      <c r="BC28" s="24"/>
      <c r="BD28" s="25"/>
      <c r="BE28" s="5"/>
      <c r="BF28" s="30"/>
      <c r="BG28" s="6"/>
      <c r="BH28" s="6"/>
      <c r="BI28" s="6"/>
      <c r="BJ28" s="6"/>
      <c r="BK28" s="6"/>
      <c r="BL28" s="6"/>
      <c r="BM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8"/>
      <c r="CB28" s="8"/>
    </row>
    <row r="29" spans="1:80" ht="12" customHeight="1" x14ac:dyDescent="0.2">
      <c r="A29" s="5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23"/>
      <c r="O29" s="24"/>
      <c r="P29" s="25"/>
      <c r="Q29" s="26"/>
      <c r="R29" s="27"/>
      <c r="S29" s="27"/>
      <c r="T29" s="27"/>
      <c r="U29" s="27"/>
      <c r="V29" s="27"/>
      <c r="W29" s="27"/>
      <c r="X29" s="27"/>
      <c r="Y29" s="27"/>
      <c r="Z29" s="28"/>
      <c r="AA29" s="23"/>
      <c r="AB29" s="24"/>
      <c r="AC29" s="25"/>
      <c r="AD29" s="26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8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3"/>
      <c r="BC29" s="24"/>
      <c r="BD29" s="25"/>
      <c r="BE29" s="5"/>
      <c r="BF29" s="30"/>
      <c r="BG29" s="6"/>
      <c r="BH29" s="6"/>
      <c r="BI29" s="6"/>
      <c r="BJ29" s="6"/>
      <c r="BK29" s="6"/>
      <c r="BL29" s="6"/>
      <c r="BM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8"/>
      <c r="CB29" s="8"/>
    </row>
    <row r="30" spans="1:80" ht="12" customHeight="1" x14ac:dyDescent="0.2">
      <c r="A30" s="5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23"/>
      <c r="O30" s="24"/>
      <c r="P30" s="25"/>
      <c r="Q30" s="26"/>
      <c r="R30" s="27"/>
      <c r="S30" s="27"/>
      <c r="T30" s="27"/>
      <c r="U30" s="27"/>
      <c r="V30" s="27"/>
      <c r="W30" s="27"/>
      <c r="X30" s="27"/>
      <c r="Y30" s="27"/>
      <c r="Z30" s="28"/>
      <c r="AA30" s="23"/>
      <c r="AB30" s="24"/>
      <c r="AC30" s="25"/>
      <c r="AD30" s="26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8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3"/>
      <c r="BC30" s="24"/>
      <c r="BD30" s="25"/>
      <c r="BE30" s="5"/>
      <c r="BF30" s="30"/>
    </row>
    <row r="31" spans="1:80" ht="12" customHeight="1" x14ac:dyDescent="0.2">
      <c r="A31" s="5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23"/>
      <c r="O31" s="24"/>
      <c r="P31" s="25"/>
      <c r="Q31" s="26"/>
      <c r="R31" s="27"/>
      <c r="S31" s="27"/>
      <c r="T31" s="27"/>
      <c r="U31" s="27"/>
      <c r="V31" s="27"/>
      <c r="W31" s="27"/>
      <c r="X31" s="27"/>
      <c r="Y31" s="27"/>
      <c r="Z31" s="28"/>
      <c r="AA31" s="23"/>
      <c r="AB31" s="24"/>
      <c r="AC31" s="25"/>
      <c r="AD31" s="26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8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3"/>
      <c r="BC31" s="24"/>
      <c r="BD31" s="25"/>
      <c r="BE31" s="5"/>
      <c r="BF31" s="30"/>
    </row>
    <row r="32" spans="1:80" ht="12" customHeight="1" x14ac:dyDescent="0.2">
      <c r="A32" s="5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2"/>
      <c r="N32" s="23"/>
      <c r="O32" s="24"/>
      <c r="P32" s="25"/>
      <c r="Q32" s="26"/>
      <c r="R32" s="27"/>
      <c r="S32" s="27"/>
      <c r="T32" s="27"/>
      <c r="U32" s="27"/>
      <c r="V32" s="27"/>
      <c r="W32" s="27"/>
      <c r="X32" s="27"/>
      <c r="Y32" s="27"/>
      <c r="Z32" s="28"/>
      <c r="AA32" s="23"/>
      <c r="AB32" s="24"/>
      <c r="AC32" s="25"/>
      <c r="AD32" s="26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8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3"/>
      <c r="BC32" s="24"/>
      <c r="BD32" s="25"/>
      <c r="BE32" s="5"/>
      <c r="BF32" s="30"/>
    </row>
    <row r="33" spans="1:101" ht="12" customHeight="1" x14ac:dyDescent="0.2">
      <c r="A33" s="5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2"/>
      <c r="N33" s="23"/>
      <c r="O33" s="24"/>
      <c r="P33" s="25"/>
      <c r="Q33" s="26"/>
      <c r="R33" s="27"/>
      <c r="S33" s="27"/>
      <c r="T33" s="27"/>
      <c r="U33" s="27"/>
      <c r="V33" s="27"/>
      <c r="W33" s="27"/>
      <c r="X33" s="27"/>
      <c r="Y33" s="27"/>
      <c r="Z33" s="28"/>
      <c r="AA33" s="23"/>
      <c r="AB33" s="24"/>
      <c r="AC33" s="25"/>
      <c r="AD33" s="26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8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3"/>
      <c r="BC33" s="24"/>
      <c r="BD33" s="25"/>
      <c r="BE33" s="5"/>
      <c r="BF33" s="30"/>
    </row>
    <row r="34" spans="1:101" ht="12" customHeight="1" x14ac:dyDescent="0.2">
      <c r="A34" s="5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23"/>
      <c r="O34" s="24"/>
      <c r="P34" s="25"/>
      <c r="Q34" s="26"/>
      <c r="R34" s="27"/>
      <c r="S34" s="27"/>
      <c r="T34" s="27"/>
      <c r="U34" s="27"/>
      <c r="V34" s="27"/>
      <c r="W34" s="27"/>
      <c r="X34" s="27"/>
      <c r="Y34" s="27"/>
      <c r="Z34" s="28"/>
      <c r="AA34" s="23"/>
      <c r="AB34" s="24"/>
      <c r="AC34" s="25"/>
      <c r="AD34" s="26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8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3"/>
      <c r="BC34" s="24"/>
      <c r="BD34" s="25"/>
      <c r="BE34" s="5"/>
      <c r="BF34" s="30"/>
    </row>
    <row r="35" spans="1:101" ht="12" customHeight="1" x14ac:dyDescent="0.2">
      <c r="A35" s="5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2"/>
      <c r="N35" s="23"/>
      <c r="O35" s="24"/>
      <c r="P35" s="25"/>
      <c r="Q35" s="26"/>
      <c r="R35" s="27"/>
      <c r="S35" s="27"/>
      <c r="T35" s="27"/>
      <c r="U35" s="27"/>
      <c r="V35" s="27"/>
      <c r="W35" s="27"/>
      <c r="X35" s="27"/>
      <c r="Y35" s="27"/>
      <c r="Z35" s="28"/>
      <c r="AA35" s="23"/>
      <c r="AB35" s="24"/>
      <c r="AC35" s="25"/>
      <c r="AD35" s="26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8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3"/>
      <c r="BC35" s="24"/>
      <c r="BD35" s="25"/>
      <c r="BE35" s="5"/>
      <c r="BF35" s="30"/>
    </row>
    <row r="36" spans="1:101" ht="12" customHeight="1" x14ac:dyDescent="0.2">
      <c r="A36" s="5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2"/>
      <c r="N36" s="23"/>
      <c r="O36" s="24"/>
      <c r="P36" s="25"/>
      <c r="Q36" s="26"/>
      <c r="R36" s="27"/>
      <c r="S36" s="27"/>
      <c r="T36" s="27"/>
      <c r="U36" s="27"/>
      <c r="V36" s="27"/>
      <c r="W36" s="27"/>
      <c r="X36" s="27"/>
      <c r="Y36" s="27"/>
      <c r="Z36" s="28"/>
      <c r="AA36" s="23"/>
      <c r="AB36" s="24"/>
      <c r="AC36" s="25"/>
      <c r="AD36" s="26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8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3"/>
      <c r="BC36" s="24"/>
      <c r="BD36" s="25"/>
      <c r="BE36" s="5"/>
      <c r="BF36" s="30"/>
    </row>
    <row r="37" spans="1:101" ht="12" customHeight="1" x14ac:dyDescent="0.2">
      <c r="A37" s="5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2"/>
      <c r="N37" s="23"/>
      <c r="O37" s="24"/>
      <c r="P37" s="25"/>
      <c r="Q37" s="26"/>
      <c r="R37" s="27"/>
      <c r="S37" s="27"/>
      <c r="T37" s="27"/>
      <c r="U37" s="27"/>
      <c r="V37" s="27"/>
      <c r="W37" s="27"/>
      <c r="X37" s="27"/>
      <c r="Y37" s="27"/>
      <c r="Z37" s="28"/>
      <c r="AA37" s="23"/>
      <c r="AB37" s="24"/>
      <c r="AC37" s="25"/>
      <c r="AD37" s="26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8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3"/>
      <c r="BC37" s="24"/>
      <c r="BD37" s="25"/>
      <c r="BE37" s="5"/>
      <c r="BF37" s="30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8"/>
      <c r="CB37" s="8"/>
      <c r="CC37" s="8"/>
      <c r="CD37" s="8"/>
      <c r="CE37" s="8"/>
      <c r="CF37" s="8"/>
    </row>
    <row r="38" spans="1:101" ht="12" customHeight="1" x14ac:dyDescent="0.2">
      <c r="A38" s="5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2"/>
      <c r="N38" s="23"/>
      <c r="O38" s="24"/>
      <c r="P38" s="25"/>
      <c r="Q38" s="26"/>
      <c r="R38" s="27"/>
      <c r="S38" s="27"/>
      <c r="T38" s="27"/>
      <c r="U38" s="27"/>
      <c r="V38" s="27"/>
      <c r="W38" s="27"/>
      <c r="X38" s="27"/>
      <c r="Y38" s="27"/>
      <c r="Z38" s="28"/>
      <c r="AA38" s="23"/>
      <c r="AB38" s="24"/>
      <c r="AC38" s="25"/>
      <c r="AD38" s="26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8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3"/>
      <c r="BC38" s="24"/>
      <c r="BD38" s="25"/>
      <c r="BE38" s="5"/>
      <c r="BF38" s="30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T38" s="8"/>
      <c r="CU38" s="8"/>
      <c r="CV38" s="8"/>
      <c r="CW38" s="8"/>
    </row>
    <row r="39" spans="1:101" ht="12" customHeight="1" x14ac:dyDescent="0.2">
      <c r="A39" s="5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2"/>
      <c r="N39" s="23"/>
      <c r="O39" s="24"/>
      <c r="P39" s="25"/>
      <c r="Q39" s="26"/>
      <c r="R39" s="27"/>
      <c r="S39" s="27"/>
      <c r="T39" s="27"/>
      <c r="U39" s="27"/>
      <c r="V39" s="27"/>
      <c r="W39" s="27"/>
      <c r="X39" s="27"/>
      <c r="Y39" s="27"/>
      <c r="Z39" s="28"/>
      <c r="AA39" s="23"/>
      <c r="AB39" s="24"/>
      <c r="AC39" s="25"/>
      <c r="AD39" s="26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8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3"/>
      <c r="BC39" s="24"/>
      <c r="BD39" s="25"/>
      <c r="BE39" s="5"/>
      <c r="BF39" s="30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T39" s="8"/>
      <c r="CU39" s="8"/>
      <c r="CV39" s="8"/>
      <c r="CW39" s="8"/>
    </row>
    <row r="40" spans="1:101" ht="12" customHeight="1" thickBot="1" x14ac:dyDescent="0.25">
      <c r="A40" s="5"/>
      <c r="B40" s="32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4"/>
      <c r="N40" s="35"/>
      <c r="O40" s="36"/>
      <c r="P40" s="37"/>
      <c r="Q40" s="38"/>
      <c r="R40" s="39"/>
      <c r="S40" s="39"/>
      <c r="T40" s="39"/>
      <c r="U40" s="39"/>
      <c r="V40" s="39"/>
      <c r="W40" s="39"/>
      <c r="X40" s="39"/>
      <c r="Y40" s="39"/>
      <c r="Z40" s="40"/>
      <c r="AA40" s="35"/>
      <c r="AB40" s="36"/>
      <c r="AC40" s="37"/>
      <c r="AD40" s="38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40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35"/>
      <c r="BC40" s="36"/>
      <c r="BD40" s="37"/>
      <c r="BE40" s="5"/>
      <c r="BF40" s="30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</row>
    <row r="41" spans="1:101" ht="12" customHeight="1" thickTop="1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42" t="s">
        <v>7</v>
      </c>
      <c r="N41" s="42"/>
      <c r="O41" s="42"/>
      <c r="P41" s="42"/>
      <c r="Q41" s="42" t="s">
        <v>8</v>
      </c>
      <c r="R41" s="42"/>
      <c r="S41" s="42"/>
      <c r="T41" s="42"/>
      <c r="U41" s="42" t="s">
        <v>9</v>
      </c>
      <c r="V41" s="42"/>
      <c r="W41" s="42"/>
      <c r="X41" s="42"/>
      <c r="Y41" s="5"/>
      <c r="Z41" s="43" t="s">
        <v>10</v>
      </c>
      <c r="AA41" s="43"/>
      <c r="AB41" s="43"/>
      <c r="AC41" s="43"/>
      <c r="AD41" s="42" t="s">
        <v>11</v>
      </c>
      <c r="AE41" s="42"/>
      <c r="AF41" s="42"/>
      <c r="AG41" s="42" t="s">
        <v>12</v>
      </c>
      <c r="AH41" s="42"/>
      <c r="AI41" s="42"/>
      <c r="AJ41" s="42" t="s">
        <v>13</v>
      </c>
      <c r="AK41" s="42"/>
      <c r="AL41" s="42"/>
      <c r="AM41" s="5"/>
      <c r="AN41" s="5"/>
      <c r="AO41" s="5"/>
      <c r="AP41" s="5"/>
      <c r="AQ41" s="5"/>
      <c r="AR41" s="5"/>
      <c r="AS41" s="44" t="s">
        <v>14</v>
      </c>
      <c r="AT41" s="44"/>
      <c r="AU41" s="44"/>
      <c r="AV41" s="44"/>
      <c r="AW41" s="44"/>
      <c r="AX41" s="45"/>
      <c r="AY41" s="46" t="str">
        <f>cWeightCarried&amp;" lbs"</f>
        <v xml:space="preserve"> lbs</v>
      </c>
      <c r="AZ41" s="43"/>
      <c r="BA41" s="43"/>
      <c r="BB41" s="47">
        <f>SUM(N3:P40)+SUM(AA3:AC40)+SUM(BB3:BD40)</f>
        <v>0</v>
      </c>
      <c r="BC41" s="48"/>
      <c r="BD41" s="48"/>
      <c r="BE41" s="5"/>
      <c r="BF41" s="30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</row>
    <row r="42" spans="1:101" ht="12" customHeight="1" x14ac:dyDescent="0.2">
      <c r="A42" s="5"/>
      <c r="B42" s="49" t="s">
        <v>15</v>
      </c>
      <c r="C42" s="49"/>
      <c r="D42" s="49"/>
      <c r="E42" s="49"/>
      <c r="F42" s="49"/>
      <c r="G42" s="49"/>
      <c r="H42" s="49"/>
      <c r="I42" s="49"/>
      <c r="J42" s="49"/>
      <c r="K42" s="49"/>
      <c r="L42" s="50"/>
      <c r="M42" s="51"/>
      <c r="N42" s="51"/>
      <c r="O42" s="51"/>
      <c r="P42" s="51"/>
      <c r="Q42" s="51">
        <f>M42*2</f>
        <v>0</v>
      </c>
      <c r="R42" s="51"/>
      <c r="S42" s="51"/>
      <c r="T42" s="51"/>
      <c r="U42" s="51">
        <f>M42*3</f>
        <v>0</v>
      </c>
      <c r="V42" s="51"/>
      <c r="W42" s="51"/>
      <c r="X42" s="51"/>
      <c r="Y42" s="5"/>
      <c r="Z42" s="52"/>
      <c r="AA42" s="53"/>
      <c r="AB42" s="53"/>
      <c r="AC42" s="54"/>
      <c r="AD42" s="51"/>
      <c r="AE42" s="51"/>
      <c r="AF42" s="51"/>
      <c r="AG42" s="51"/>
      <c r="AH42" s="51"/>
      <c r="AI42" s="51"/>
      <c r="AJ42" s="55"/>
      <c r="AK42" s="55"/>
      <c r="AL42" s="5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6"/>
      <c r="BC42" s="5"/>
      <c r="BD42" s="5"/>
      <c r="BE42" s="5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</row>
    <row r="43" spans="1:101" ht="12" customHeight="1" x14ac:dyDescent="0.2">
      <c r="A43" s="5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9"/>
      <c r="AK43" s="59"/>
      <c r="AL43" s="59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6"/>
      <c r="BC43" s="56"/>
      <c r="BD43" s="56"/>
      <c r="BE43" s="5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</row>
    <row r="44" spans="1:101" ht="13.5" customHeight="1" x14ac:dyDescent="0.2">
      <c r="A44" s="5"/>
      <c r="B44" s="60" t="s">
        <v>16</v>
      </c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1"/>
      <c r="AS44" s="61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2"/>
      <c r="BE44" s="5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</row>
    <row r="45" spans="1:101" ht="12" customHeight="1" x14ac:dyDescent="0.2">
      <c r="A45" s="5"/>
      <c r="B45" s="63" t="s">
        <v>17</v>
      </c>
      <c r="C45" s="64"/>
      <c r="D45" s="64"/>
      <c r="E45" s="64"/>
      <c r="F45" s="64"/>
      <c r="G45" s="64"/>
      <c r="H45" s="64"/>
      <c r="I45" s="64"/>
      <c r="J45" s="64"/>
      <c r="K45" s="64"/>
      <c r="L45" s="65"/>
      <c r="M45" s="66"/>
      <c r="N45" s="67"/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  <c r="AA45" s="68"/>
      <c r="AB45" s="69"/>
      <c r="AC45" s="70" t="s">
        <v>18</v>
      </c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2"/>
      <c r="BE45" s="5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</row>
    <row r="46" spans="1:101" ht="12" customHeight="1" x14ac:dyDescent="0.2">
      <c r="A46" s="5"/>
      <c r="B46" s="73"/>
      <c r="C46" s="74"/>
      <c r="D46" s="74"/>
      <c r="E46" s="74"/>
      <c r="F46" s="74"/>
      <c r="G46" s="74"/>
      <c r="H46" s="74"/>
      <c r="I46" s="74"/>
      <c r="J46" s="74"/>
      <c r="K46" s="74"/>
      <c r="L46" s="75"/>
      <c r="M46" s="76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8"/>
      <c r="AB46" s="69"/>
      <c r="AC46" s="79" t="s">
        <v>19</v>
      </c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1"/>
      <c r="BA46" s="82" t="s">
        <v>20</v>
      </c>
      <c r="BB46" s="83"/>
      <c r="BC46" s="83"/>
      <c r="BD46" s="84"/>
      <c r="BE46" s="5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</row>
    <row r="47" spans="1:101" ht="12" customHeight="1" x14ac:dyDescent="0.2">
      <c r="A47" s="5"/>
      <c r="B47" s="85" t="s">
        <v>21</v>
      </c>
      <c r="C47" s="86"/>
      <c r="D47" s="86"/>
      <c r="E47" s="86"/>
      <c r="F47" s="86"/>
      <c r="G47" s="86"/>
      <c r="H47" s="86"/>
      <c r="I47" s="86"/>
      <c r="J47" s="86"/>
      <c r="K47" s="86"/>
      <c r="L47" s="87"/>
      <c r="M47" s="88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90"/>
      <c r="AB47" s="69"/>
      <c r="AC47" s="91"/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W47" s="92"/>
      <c r="AX47" s="92"/>
      <c r="AY47" s="92"/>
      <c r="AZ47" s="93"/>
      <c r="BA47" s="94"/>
      <c r="BB47" s="95"/>
      <c r="BC47" s="95"/>
      <c r="BD47" s="96"/>
      <c r="BE47" s="5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</row>
    <row r="48" spans="1:101" ht="12" customHeight="1" x14ac:dyDescent="0.2">
      <c r="A48" s="5"/>
      <c r="B48" s="97"/>
      <c r="C48" s="98"/>
      <c r="D48" s="98"/>
      <c r="E48" s="98"/>
      <c r="F48" s="98"/>
      <c r="G48" s="98"/>
      <c r="H48" s="98"/>
      <c r="I48" s="98"/>
      <c r="J48" s="98"/>
      <c r="K48" s="98"/>
      <c r="L48" s="99"/>
      <c r="M48" s="76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8"/>
      <c r="AB48" s="69"/>
      <c r="AC48" s="100"/>
      <c r="AD48" s="101"/>
      <c r="AE48" s="101"/>
      <c r="AF48" s="101"/>
      <c r="AG48" s="101"/>
      <c r="AH48" s="101"/>
      <c r="AI48" s="101"/>
      <c r="AJ48" s="101"/>
      <c r="AK48" s="101"/>
      <c r="AL48" s="101"/>
      <c r="AM48" s="101"/>
      <c r="AN48" s="101"/>
      <c r="AO48" s="101"/>
      <c r="AP48" s="101"/>
      <c r="AQ48" s="101"/>
      <c r="AR48" s="101"/>
      <c r="AS48" s="101"/>
      <c r="AT48" s="101"/>
      <c r="AU48" s="101"/>
      <c r="AV48" s="101"/>
      <c r="AW48" s="101"/>
      <c r="AX48" s="101"/>
      <c r="AY48" s="101"/>
      <c r="AZ48" s="102"/>
      <c r="BA48" s="103"/>
      <c r="BB48" s="104"/>
      <c r="BC48" s="104"/>
      <c r="BD48" s="105"/>
      <c r="BE48" s="5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</row>
    <row r="49" spans="1:101" ht="12" customHeight="1" x14ac:dyDescent="0.2">
      <c r="A49" s="5"/>
      <c r="B49" s="63" t="s">
        <v>22</v>
      </c>
      <c r="C49" s="64"/>
      <c r="D49" s="64"/>
      <c r="E49" s="64"/>
      <c r="F49" s="64"/>
      <c r="G49" s="64"/>
      <c r="H49" s="64"/>
      <c r="I49" s="64"/>
      <c r="J49" s="64"/>
      <c r="K49" s="64"/>
      <c r="L49" s="65"/>
      <c r="M49" s="88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90"/>
      <c r="AB49" s="69"/>
      <c r="AC49" s="91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W49" s="92"/>
      <c r="AX49" s="92"/>
      <c r="AY49" s="92"/>
      <c r="AZ49" s="93"/>
      <c r="BA49" s="94"/>
      <c r="BB49" s="95"/>
      <c r="BC49" s="95"/>
      <c r="BD49" s="96"/>
      <c r="BE49" s="5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</row>
    <row r="50" spans="1:101" ht="12" customHeight="1" x14ac:dyDescent="0.2">
      <c r="A50" s="5"/>
      <c r="B50" s="73"/>
      <c r="C50" s="74"/>
      <c r="D50" s="74"/>
      <c r="E50" s="74"/>
      <c r="F50" s="74"/>
      <c r="G50" s="74"/>
      <c r="H50" s="74"/>
      <c r="I50" s="74"/>
      <c r="J50" s="74"/>
      <c r="K50" s="74"/>
      <c r="L50" s="75"/>
      <c r="M50" s="76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8"/>
      <c r="AB50" s="69"/>
      <c r="AC50" s="91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W50" s="92"/>
      <c r="AX50" s="92"/>
      <c r="AY50" s="92"/>
      <c r="AZ50" s="93"/>
      <c r="BA50" s="94"/>
      <c r="BB50" s="95"/>
      <c r="BC50" s="95"/>
      <c r="BD50" s="96"/>
      <c r="BE50" s="5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</row>
    <row r="51" spans="1:101" ht="12" customHeight="1" x14ac:dyDescent="0.2">
      <c r="A51" s="5"/>
      <c r="B51" s="63" t="s">
        <v>23</v>
      </c>
      <c r="C51" s="64"/>
      <c r="D51" s="64"/>
      <c r="E51" s="64"/>
      <c r="F51" s="64"/>
      <c r="G51" s="64"/>
      <c r="H51" s="64"/>
      <c r="I51" s="64"/>
      <c r="J51" s="64"/>
      <c r="K51" s="64"/>
      <c r="L51" s="65"/>
      <c r="M51" s="88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90"/>
      <c r="AB51" s="69"/>
      <c r="AC51" s="100"/>
      <c r="AD51" s="101"/>
      <c r="AE51" s="101"/>
      <c r="AF51" s="101"/>
      <c r="AG51" s="101"/>
      <c r="AH51" s="101"/>
      <c r="AI51" s="101"/>
      <c r="AJ51" s="101"/>
      <c r="AK51" s="101"/>
      <c r="AL51" s="101"/>
      <c r="AM51" s="101"/>
      <c r="AN51" s="101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2"/>
      <c r="BA51" s="103"/>
      <c r="BB51" s="104"/>
      <c r="BC51" s="104"/>
      <c r="BD51" s="105"/>
      <c r="BE51" s="5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</row>
    <row r="52" spans="1:101" ht="12" customHeight="1" x14ac:dyDescent="0.2">
      <c r="A52" s="5"/>
      <c r="B52" s="73"/>
      <c r="C52" s="74"/>
      <c r="D52" s="74"/>
      <c r="E52" s="74"/>
      <c r="F52" s="74"/>
      <c r="G52" s="74"/>
      <c r="H52" s="74"/>
      <c r="I52" s="74"/>
      <c r="J52" s="74"/>
      <c r="K52" s="74"/>
      <c r="L52" s="75"/>
      <c r="M52" s="76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8"/>
      <c r="AB52" s="69"/>
      <c r="AC52" s="91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W52" s="92"/>
      <c r="AX52" s="92"/>
      <c r="AY52" s="92"/>
      <c r="AZ52" s="93"/>
      <c r="BA52" s="94"/>
      <c r="BB52" s="95"/>
      <c r="BC52" s="95"/>
      <c r="BD52" s="96"/>
      <c r="BE52" s="5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</row>
    <row r="53" spans="1:101" ht="12" customHeight="1" x14ac:dyDescent="0.2">
      <c r="A53" s="5"/>
      <c r="B53" s="70" t="s">
        <v>24</v>
      </c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2"/>
      <c r="AB53" s="69"/>
      <c r="AC53" s="100"/>
      <c r="AD53" s="101"/>
      <c r="AE53" s="101"/>
      <c r="AF53" s="101"/>
      <c r="AG53" s="101"/>
      <c r="AH53" s="101"/>
      <c r="AI53" s="101"/>
      <c r="AJ53" s="101"/>
      <c r="AK53" s="101"/>
      <c r="AL53" s="101"/>
      <c r="AM53" s="101"/>
      <c r="AN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2"/>
      <c r="BA53" s="103"/>
      <c r="BB53" s="104"/>
      <c r="BC53" s="104"/>
      <c r="BD53" s="105"/>
      <c r="BE53" s="5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</row>
    <row r="54" spans="1:101" ht="12" customHeight="1" x14ac:dyDescent="0.2">
      <c r="A54" s="5"/>
      <c r="B54" s="106"/>
      <c r="C54" s="107"/>
      <c r="D54" s="107"/>
      <c r="E54" s="107"/>
      <c r="F54" s="107"/>
      <c r="G54" s="107"/>
      <c r="H54" s="107"/>
      <c r="I54" s="107"/>
      <c r="J54" s="107"/>
      <c r="K54" s="107"/>
      <c r="L54" s="107"/>
      <c r="M54" s="107"/>
      <c r="N54" s="108"/>
      <c r="O54" s="106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8"/>
      <c r="AB54" s="69"/>
      <c r="AC54" s="91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W54" s="92"/>
      <c r="AX54" s="92"/>
      <c r="AY54" s="92"/>
      <c r="AZ54" s="93"/>
      <c r="BA54" s="94"/>
      <c r="BB54" s="95"/>
      <c r="BC54" s="95"/>
      <c r="BD54" s="96"/>
      <c r="BE54" s="5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</row>
    <row r="55" spans="1:101" ht="12" customHeight="1" x14ac:dyDescent="0.2">
      <c r="A55" s="5"/>
      <c r="B55" s="106"/>
      <c r="C55" s="107"/>
      <c r="D55" s="107"/>
      <c r="E55" s="107"/>
      <c r="F55" s="107"/>
      <c r="G55" s="107"/>
      <c r="H55" s="107"/>
      <c r="I55" s="107"/>
      <c r="J55" s="107"/>
      <c r="K55" s="107"/>
      <c r="L55" s="107"/>
      <c r="M55" s="107"/>
      <c r="N55" s="108"/>
      <c r="O55" s="106"/>
      <c r="P55" s="107"/>
      <c r="Q55" s="107"/>
      <c r="R55" s="107"/>
      <c r="S55" s="107"/>
      <c r="T55" s="107"/>
      <c r="U55" s="107"/>
      <c r="V55" s="107"/>
      <c r="W55" s="107"/>
      <c r="X55" s="107"/>
      <c r="Y55" s="107"/>
      <c r="Z55" s="107"/>
      <c r="AA55" s="108"/>
      <c r="AB55" s="69"/>
      <c r="AC55" s="100"/>
      <c r="AD55" s="101"/>
      <c r="AE55" s="101"/>
      <c r="AF55" s="101"/>
      <c r="AG55" s="101"/>
      <c r="AH55" s="101"/>
      <c r="AI55" s="101"/>
      <c r="AJ55" s="101"/>
      <c r="AK55" s="101"/>
      <c r="AL55" s="101"/>
      <c r="AM55" s="101"/>
      <c r="AN55" s="101"/>
      <c r="AO55" s="101"/>
      <c r="AP55" s="101"/>
      <c r="AQ55" s="101"/>
      <c r="AR55" s="101"/>
      <c r="AS55" s="101"/>
      <c r="AT55" s="101"/>
      <c r="AU55" s="101"/>
      <c r="AV55" s="101"/>
      <c r="AW55" s="101"/>
      <c r="AX55" s="101"/>
      <c r="AY55" s="101"/>
      <c r="AZ55" s="102"/>
      <c r="BA55" s="103"/>
      <c r="BB55" s="104"/>
      <c r="BC55" s="104"/>
      <c r="BD55" s="105"/>
      <c r="BE55" s="5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</row>
    <row r="56" spans="1:101" ht="12" customHeight="1" x14ac:dyDescent="0.2">
      <c r="A56" s="5"/>
      <c r="B56" s="106"/>
      <c r="C56" s="107"/>
      <c r="D56" s="107"/>
      <c r="E56" s="107"/>
      <c r="F56" s="107"/>
      <c r="G56" s="107"/>
      <c r="H56" s="107"/>
      <c r="I56" s="107"/>
      <c r="J56" s="107"/>
      <c r="K56" s="107"/>
      <c r="L56" s="107"/>
      <c r="M56" s="107"/>
      <c r="N56" s="108"/>
      <c r="O56" s="106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8"/>
      <c r="AB56" s="69"/>
      <c r="AC56" s="91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2"/>
      <c r="AV56" s="92"/>
      <c r="AW56" s="92"/>
      <c r="AX56" s="92"/>
      <c r="AY56" s="92"/>
      <c r="AZ56" s="93"/>
      <c r="BA56" s="94"/>
      <c r="BB56" s="95"/>
      <c r="BC56" s="95"/>
      <c r="BD56" s="96"/>
      <c r="BE56" s="5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</row>
    <row r="57" spans="1:101" ht="12" customHeight="1" x14ac:dyDescent="0.2">
      <c r="A57" s="5"/>
      <c r="B57" s="106"/>
      <c r="C57" s="107"/>
      <c r="D57" s="107"/>
      <c r="E57" s="107"/>
      <c r="F57" s="107"/>
      <c r="G57" s="107"/>
      <c r="H57" s="107"/>
      <c r="I57" s="107"/>
      <c r="J57" s="107"/>
      <c r="K57" s="107"/>
      <c r="L57" s="107"/>
      <c r="M57" s="107"/>
      <c r="N57" s="108"/>
      <c r="O57" s="106"/>
      <c r="P57" s="107"/>
      <c r="Q57" s="107"/>
      <c r="R57" s="107"/>
      <c r="S57" s="107"/>
      <c r="T57" s="107"/>
      <c r="U57" s="107"/>
      <c r="V57" s="107"/>
      <c r="W57" s="107"/>
      <c r="X57" s="107"/>
      <c r="Y57" s="107"/>
      <c r="Z57" s="107"/>
      <c r="AA57" s="108"/>
      <c r="AB57" s="69"/>
      <c r="AC57" s="100"/>
      <c r="AD57" s="101"/>
      <c r="AE57" s="101"/>
      <c r="AF57" s="101"/>
      <c r="AG57" s="101"/>
      <c r="AH57" s="101"/>
      <c r="AI57" s="101"/>
      <c r="AJ57" s="101"/>
      <c r="AK57" s="101"/>
      <c r="AL57" s="101"/>
      <c r="AM57" s="101"/>
      <c r="AN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2"/>
      <c r="BA57" s="103"/>
      <c r="BB57" s="104"/>
      <c r="BC57" s="104"/>
      <c r="BD57" s="105"/>
      <c r="BE57" s="5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</row>
    <row r="58" spans="1:101" ht="12" customHeight="1" x14ac:dyDescent="0.2">
      <c r="A58" s="5"/>
      <c r="B58" s="106"/>
      <c r="C58" s="107"/>
      <c r="D58" s="107"/>
      <c r="E58" s="107"/>
      <c r="F58" s="107"/>
      <c r="G58" s="107"/>
      <c r="H58" s="107"/>
      <c r="I58" s="107"/>
      <c r="J58" s="107"/>
      <c r="K58" s="107"/>
      <c r="L58" s="107"/>
      <c r="M58" s="107"/>
      <c r="N58" s="108"/>
      <c r="O58" s="106"/>
      <c r="P58" s="107"/>
      <c r="Q58" s="107"/>
      <c r="R58" s="107"/>
      <c r="S58" s="107"/>
      <c r="T58" s="107"/>
      <c r="U58" s="107"/>
      <c r="V58" s="107"/>
      <c r="W58" s="107"/>
      <c r="X58" s="107"/>
      <c r="Y58" s="107"/>
      <c r="Z58" s="107"/>
      <c r="AA58" s="108"/>
      <c r="AB58" s="69"/>
      <c r="AC58" s="91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  <c r="AW58" s="92"/>
      <c r="AX58" s="92"/>
      <c r="AY58" s="92"/>
      <c r="AZ58" s="93"/>
      <c r="BA58" s="94"/>
      <c r="BB58" s="95"/>
      <c r="BC58" s="95"/>
      <c r="BD58" s="96"/>
      <c r="BE58" s="5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</row>
    <row r="59" spans="1:101" ht="12" customHeight="1" x14ac:dyDescent="0.2">
      <c r="A59" s="5"/>
      <c r="B59" s="109"/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1"/>
      <c r="O59" s="109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1"/>
      <c r="AB59" s="112"/>
      <c r="AC59" s="113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5"/>
      <c r="BA59" s="116"/>
      <c r="BB59" s="117"/>
      <c r="BC59" s="117"/>
      <c r="BD59" s="118"/>
      <c r="BE59" s="5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</row>
  </sheetData>
  <dataConsolidate/>
  <mergeCells count="347">
    <mergeCell ref="B59:N59"/>
    <mergeCell ref="O59:AA59"/>
    <mergeCell ref="AC59:AZ59"/>
    <mergeCell ref="BA59:BD59"/>
    <mergeCell ref="B57:N57"/>
    <mergeCell ref="O57:AA57"/>
    <mergeCell ref="AC57:AZ57"/>
    <mergeCell ref="BA57:BD57"/>
    <mergeCell ref="B58:N58"/>
    <mergeCell ref="O58:AA58"/>
    <mergeCell ref="AC58:AZ58"/>
    <mergeCell ref="BA58:BD58"/>
    <mergeCell ref="B55:N55"/>
    <mergeCell ref="O55:AA55"/>
    <mergeCell ref="AC55:AZ55"/>
    <mergeCell ref="BA55:BD55"/>
    <mergeCell ref="B56:N56"/>
    <mergeCell ref="O56:AA56"/>
    <mergeCell ref="AC56:AZ56"/>
    <mergeCell ref="BA56:BD56"/>
    <mergeCell ref="B53:AA53"/>
    <mergeCell ref="AC53:AZ53"/>
    <mergeCell ref="BA53:BD53"/>
    <mergeCell ref="B54:N54"/>
    <mergeCell ref="O54:AA54"/>
    <mergeCell ref="AC54:AZ54"/>
    <mergeCell ref="BA54:BD54"/>
    <mergeCell ref="B51:L52"/>
    <mergeCell ref="M51:AA51"/>
    <mergeCell ref="AC51:AZ51"/>
    <mergeCell ref="BA51:BD51"/>
    <mergeCell ref="M52:AA52"/>
    <mergeCell ref="AC52:AZ52"/>
    <mergeCell ref="BA52:BD52"/>
    <mergeCell ref="B49:L50"/>
    <mergeCell ref="M49:AA49"/>
    <mergeCell ref="AC49:AZ49"/>
    <mergeCell ref="BA49:BD49"/>
    <mergeCell ref="M50:AA50"/>
    <mergeCell ref="AC50:AZ50"/>
    <mergeCell ref="BA50:BD50"/>
    <mergeCell ref="B47:L48"/>
    <mergeCell ref="M47:AA47"/>
    <mergeCell ref="AC47:AZ47"/>
    <mergeCell ref="BA47:BD47"/>
    <mergeCell ref="M48:AA48"/>
    <mergeCell ref="AC48:AZ48"/>
    <mergeCell ref="BA48:BD48"/>
    <mergeCell ref="B44:BD44"/>
    <mergeCell ref="B45:L46"/>
    <mergeCell ref="M45:AA45"/>
    <mergeCell ref="AC45:BD45"/>
    <mergeCell ref="M46:AA46"/>
    <mergeCell ref="AC46:AZ46"/>
    <mergeCell ref="BA46:BD46"/>
    <mergeCell ref="BB41:BD41"/>
    <mergeCell ref="B42:L42"/>
    <mergeCell ref="M42:P42"/>
    <mergeCell ref="Q42:T42"/>
    <mergeCell ref="U42:X42"/>
    <mergeCell ref="Z42:AC42"/>
    <mergeCell ref="AD42:AF42"/>
    <mergeCell ref="AG42:AI42"/>
    <mergeCell ref="AJ42:AL42"/>
    <mergeCell ref="BB40:BD40"/>
    <mergeCell ref="M41:P41"/>
    <mergeCell ref="Q41:T41"/>
    <mergeCell ref="U41:X41"/>
    <mergeCell ref="Z41:AC41"/>
    <mergeCell ref="AD41:AF41"/>
    <mergeCell ref="AG41:AI41"/>
    <mergeCell ref="AJ41:AL41"/>
    <mergeCell ref="AS41:AX41"/>
    <mergeCell ref="AY41:BA41"/>
    <mergeCell ref="B40:M40"/>
    <mergeCell ref="N40:P40"/>
    <mergeCell ref="Q40:Z40"/>
    <mergeCell ref="AA40:AC40"/>
    <mergeCell ref="AD40:AP40"/>
    <mergeCell ref="AQ40:BA40"/>
    <mergeCell ref="BB38:BD38"/>
    <mergeCell ref="B39:M39"/>
    <mergeCell ref="N39:P39"/>
    <mergeCell ref="Q39:Z39"/>
    <mergeCell ref="AA39:AC39"/>
    <mergeCell ref="AD39:AP39"/>
    <mergeCell ref="AQ39:BA39"/>
    <mergeCell ref="BB39:BD39"/>
    <mergeCell ref="B38:M38"/>
    <mergeCell ref="N38:P38"/>
    <mergeCell ref="Q38:Z38"/>
    <mergeCell ref="AA38:AC38"/>
    <mergeCell ref="AD38:AP38"/>
    <mergeCell ref="AQ38:BA38"/>
    <mergeCell ref="BB36:BD36"/>
    <mergeCell ref="B37:M37"/>
    <mergeCell ref="N37:P37"/>
    <mergeCell ref="Q37:Z37"/>
    <mergeCell ref="AA37:AC37"/>
    <mergeCell ref="AD37:AP37"/>
    <mergeCell ref="AQ37:BA37"/>
    <mergeCell ref="BB37:BD37"/>
    <mergeCell ref="B36:M36"/>
    <mergeCell ref="N36:P36"/>
    <mergeCell ref="Q36:Z36"/>
    <mergeCell ref="AA36:AC36"/>
    <mergeCell ref="AD36:AP36"/>
    <mergeCell ref="AQ36:BA36"/>
    <mergeCell ref="BB34:BD34"/>
    <mergeCell ref="B35:M35"/>
    <mergeCell ref="N35:P35"/>
    <mergeCell ref="Q35:Z35"/>
    <mergeCell ref="AA35:AC35"/>
    <mergeCell ref="AD35:AP35"/>
    <mergeCell ref="AQ35:BA35"/>
    <mergeCell ref="BB35:BD35"/>
    <mergeCell ref="B34:M34"/>
    <mergeCell ref="N34:P34"/>
    <mergeCell ref="Q34:Z34"/>
    <mergeCell ref="AA34:AC34"/>
    <mergeCell ref="AD34:AP34"/>
    <mergeCell ref="AQ34:BA34"/>
    <mergeCell ref="BB32:BD32"/>
    <mergeCell ref="B33:M33"/>
    <mergeCell ref="N33:P33"/>
    <mergeCell ref="Q33:Z33"/>
    <mergeCell ref="AA33:AC33"/>
    <mergeCell ref="AD33:AP33"/>
    <mergeCell ref="AQ33:BA33"/>
    <mergeCell ref="BB33:BD33"/>
    <mergeCell ref="B32:M32"/>
    <mergeCell ref="N32:P32"/>
    <mergeCell ref="Q32:Z32"/>
    <mergeCell ref="AA32:AC32"/>
    <mergeCell ref="AD32:AP32"/>
    <mergeCell ref="AQ32:BA32"/>
    <mergeCell ref="BB30:BD30"/>
    <mergeCell ref="B31:M31"/>
    <mergeCell ref="N31:P31"/>
    <mergeCell ref="Q31:Z31"/>
    <mergeCell ref="AA31:AC31"/>
    <mergeCell ref="AD31:AP31"/>
    <mergeCell ref="AQ31:BA31"/>
    <mergeCell ref="BB31:BD31"/>
    <mergeCell ref="B30:M30"/>
    <mergeCell ref="N30:P30"/>
    <mergeCell ref="Q30:Z30"/>
    <mergeCell ref="AA30:AC30"/>
    <mergeCell ref="AD30:AP30"/>
    <mergeCell ref="AQ30:BA30"/>
    <mergeCell ref="BB28:BD28"/>
    <mergeCell ref="B29:M29"/>
    <mergeCell ref="N29:P29"/>
    <mergeCell ref="Q29:Z29"/>
    <mergeCell ref="AA29:AC29"/>
    <mergeCell ref="AD29:AP29"/>
    <mergeCell ref="AQ29:BA29"/>
    <mergeCell ref="BB29:BD29"/>
    <mergeCell ref="B28:M28"/>
    <mergeCell ref="N28:P28"/>
    <mergeCell ref="Q28:Z28"/>
    <mergeCell ref="AA28:AC28"/>
    <mergeCell ref="AD28:AP28"/>
    <mergeCell ref="AQ28:BA28"/>
    <mergeCell ref="BB26:BD26"/>
    <mergeCell ref="B27:M27"/>
    <mergeCell ref="N27:P27"/>
    <mergeCell ref="Q27:Z27"/>
    <mergeCell ref="AA27:AC27"/>
    <mergeCell ref="AD27:AP27"/>
    <mergeCell ref="AQ27:BA27"/>
    <mergeCell ref="BB27:BD27"/>
    <mergeCell ref="B26:M26"/>
    <mergeCell ref="N26:P26"/>
    <mergeCell ref="Q26:Z26"/>
    <mergeCell ref="AA26:AC26"/>
    <mergeCell ref="AD26:AP26"/>
    <mergeCell ref="AQ26:BA26"/>
    <mergeCell ref="BB24:BD24"/>
    <mergeCell ref="B25:M25"/>
    <mergeCell ref="N25:P25"/>
    <mergeCell ref="Q25:Z25"/>
    <mergeCell ref="AA25:AC25"/>
    <mergeCell ref="AD25:AP25"/>
    <mergeCell ref="AQ25:BA25"/>
    <mergeCell ref="BB25:BD25"/>
    <mergeCell ref="B24:M24"/>
    <mergeCell ref="N24:P24"/>
    <mergeCell ref="Q24:Z24"/>
    <mergeCell ref="AA24:AC24"/>
    <mergeCell ref="AD24:AP24"/>
    <mergeCell ref="AQ24:BA24"/>
    <mergeCell ref="BB22:BD22"/>
    <mergeCell ref="B23:M23"/>
    <mergeCell ref="N23:P23"/>
    <mergeCell ref="Q23:Z23"/>
    <mergeCell ref="AA23:AC23"/>
    <mergeCell ref="AD23:AP23"/>
    <mergeCell ref="AQ23:BA23"/>
    <mergeCell ref="BB23:BD23"/>
    <mergeCell ref="B22:M22"/>
    <mergeCell ref="N22:P22"/>
    <mergeCell ref="Q22:Z22"/>
    <mergeCell ref="AA22:AC22"/>
    <mergeCell ref="AD22:AP22"/>
    <mergeCell ref="AQ22:BA22"/>
    <mergeCell ref="BB20:BD20"/>
    <mergeCell ref="B21:M21"/>
    <mergeCell ref="N21:P21"/>
    <mergeCell ref="Q21:Z21"/>
    <mergeCell ref="AA21:AC21"/>
    <mergeCell ref="AD21:AP21"/>
    <mergeCell ref="AQ21:BA21"/>
    <mergeCell ref="BB21:BD21"/>
    <mergeCell ref="B20:M20"/>
    <mergeCell ref="N20:P20"/>
    <mergeCell ref="Q20:Z20"/>
    <mergeCell ref="AA20:AC20"/>
    <mergeCell ref="AD20:AP20"/>
    <mergeCell ref="AQ20:BA20"/>
    <mergeCell ref="BB18:BD18"/>
    <mergeCell ref="B19:M19"/>
    <mergeCell ref="N19:P19"/>
    <mergeCell ref="Q19:Z19"/>
    <mergeCell ref="AA19:AC19"/>
    <mergeCell ref="AD19:AP19"/>
    <mergeCell ref="AQ19:BA19"/>
    <mergeCell ref="BB19:BD19"/>
    <mergeCell ref="B18:M18"/>
    <mergeCell ref="N18:P18"/>
    <mergeCell ref="Q18:Z18"/>
    <mergeCell ref="AA18:AC18"/>
    <mergeCell ref="AD18:AP18"/>
    <mergeCell ref="AQ18:BA18"/>
    <mergeCell ref="BB16:BD16"/>
    <mergeCell ref="B17:M17"/>
    <mergeCell ref="N17:P17"/>
    <mergeCell ref="Q17:Z17"/>
    <mergeCell ref="AA17:AC17"/>
    <mergeCell ref="AD17:AP17"/>
    <mergeCell ref="AQ17:BA17"/>
    <mergeCell ref="BB17:BD17"/>
    <mergeCell ref="B16:M16"/>
    <mergeCell ref="N16:P16"/>
    <mergeCell ref="Q16:Z16"/>
    <mergeCell ref="AA16:AC16"/>
    <mergeCell ref="AD16:AP16"/>
    <mergeCell ref="AQ16:BA16"/>
    <mergeCell ref="BB14:BD14"/>
    <mergeCell ref="B15:M15"/>
    <mergeCell ref="N15:P15"/>
    <mergeCell ref="Q15:Z15"/>
    <mergeCell ref="AA15:AC15"/>
    <mergeCell ref="AD15:AP15"/>
    <mergeCell ref="AQ15:BA15"/>
    <mergeCell ref="BB15:BD15"/>
    <mergeCell ref="B14:M14"/>
    <mergeCell ref="N14:P14"/>
    <mergeCell ref="Q14:Z14"/>
    <mergeCell ref="AA14:AC14"/>
    <mergeCell ref="AD14:AP14"/>
    <mergeCell ref="AQ14:BA14"/>
    <mergeCell ref="BB12:BD12"/>
    <mergeCell ref="B13:M13"/>
    <mergeCell ref="N13:P13"/>
    <mergeCell ref="Q13:Z13"/>
    <mergeCell ref="AA13:AC13"/>
    <mergeCell ref="AD13:AP13"/>
    <mergeCell ref="AQ13:BA13"/>
    <mergeCell ref="BB13:BD13"/>
    <mergeCell ref="B12:M12"/>
    <mergeCell ref="N12:P12"/>
    <mergeCell ref="Q12:Z12"/>
    <mergeCell ref="AA12:AC12"/>
    <mergeCell ref="AD12:AP12"/>
    <mergeCell ref="AQ12:BA12"/>
    <mergeCell ref="BB10:BD10"/>
    <mergeCell ref="B11:M11"/>
    <mergeCell ref="N11:P11"/>
    <mergeCell ref="Q11:Z11"/>
    <mergeCell ref="AA11:AC11"/>
    <mergeCell ref="AD11:AP11"/>
    <mergeCell ref="AQ11:BA11"/>
    <mergeCell ref="BB11:BD11"/>
    <mergeCell ref="B10:M10"/>
    <mergeCell ref="N10:P10"/>
    <mergeCell ref="Q10:Z10"/>
    <mergeCell ref="AA10:AC10"/>
    <mergeCell ref="AD10:AP10"/>
    <mergeCell ref="AQ10:BA10"/>
    <mergeCell ref="BB8:BD8"/>
    <mergeCell ref="B9:M9"/>
    <mergeCell ref="N9:P9"/>
    <mergeCell ref="Q9:Z9"/>
    <mergeCell ref="AA9:AC9"/>
    <mergeCell ref="AD9:AP9"/>
    <mergeCell ref="AQ9:BA9"/>
    <mergeCell ref="BB9:BD9"/>
    <mergeCell ref="B8:M8"/>
    <mergeCell ref="N8:P8"/>
    <mergeCell ref="Q8:Z8"/>
    <mergeCell ref="AA8:AC8"/>
    <mergeCell ref="AD8:AP8"/>
    <mergeCell ref="AQ8:BA8"/>
    <mergeCell ref="BB6:BD6"/>
    <mergeCell ref="B7:M7"/>
    <mergeCell ref="N7:P7"/>
    <mergeCell ref="Q7:Z7"/>
    <mergeCell ref="AA7:AC7"/>
    <mergeCell ref="AD7:AP7"/>
    <mergeCell ref="AQ7:BA7"/>
    <mergeCell ref="BB7:BD7"/>
    <mergeCell ref="B6:M6"/>
    <mergeCell ref="N6:P6"/>
    <mergeCell ref="Q6:Z6"/>
    <mergeCell ref="AA6:AC6"/>
    <mergeCell ref="AD6:AP6"/>
    <mergeCell ref="AQ6:BA6"/>
    <mergeCell ref="BB4:BD4"/>
    <mergeCell ref="B5:M5"/>
    <mergeCell ref="N5:P5"/>
    <mergeCell ref="Q5:Z5"/>
    <mergeCell ref="AA5:AC5"/>
    <mergeCell ref="AD5:AP5"/>
    <mergeCell ref="AQ5:BA5"/>
    <mergeCell ref="BB5:BD5"/>
    <mergeCell ref="B4:M4"/>
    <mergeCell ref="N4:P4"/>
    <mergeCell ref="Q4:Z4"/>
    <mergeCell ref="AA4:AC4"/>
    <mergeCell ref="AD4:AP4"/>
    <mergeCell ref="AQ4:BA4"/>
    <mergeCell ref="AQ2:BA2"/>
    <mergeCell ref="BB2:BD2"/>
    <mergeCell ref="B3:M3"/>
    <mergeCell ref="N3:P3"/>
    <mergeCell ref="Q3:Z3"/>
    <mergeCell ref="AA3:AC3"/>
    <mergeCell ref="AD3:AP3"/>
    <mergeCell ref="AQ3:BA3"/>
    <mergeCell ref="BB3:BD3"/>
    <mergeCell ref="B1:T1"/>
    <mergeCell ref="B2:M2"/>
    <mergeCell ref="N2:P2"/>
    <mergeCell ref="Q2:Z2"/>
    <mergeCell ref="AA2:AC2"/>
    <mergeCell ref="AD2:AP2"/>
  </mergeCells>
  <pageMargins left="0" right="0" top="0.5" bottom="0.5" header="0" footer="0"/>
  <pageSetup fitToHeight="0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1</vt:i4>
      </vt:variant>
      <vt:variant>
        <vt:lpstr>Іменовані діапазони</vt:lpstr>
      </vt:variant>
      <vt:variant>
        <vt:i4>7</vt:i4>
      </vt:variant>
    </vt:vector>
  </HeadingPairs>
  <TitlesOfParts>
    <vt:vector size="8" baseType="lpstr">
      <vt:lpstr>Equipment</vt:lpstr>
      <vt:lpstr>Equipment!cCarryingLoad</vt:lpstr>
      <vt:lpstr>Equipment!cLoadCheck</vt:lpstr>
      <vt:lpstr>Equipment!cLoadMaxDex</vt:lpstr>
      <vt:lpstr>Equipment!cWeightCarried</vt:lpstr>
      <vt:lpstr>eEquipment</vt:lpstr>
      <vt:lpstr>Equipment!link_EQUIPMENT</vt:lpstr>
      <vt:lpstr>Equipment!Область_друку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Паліхов Антон</dc:creator>
  <cp:lastModifiedBy>Паліхов Антон</cp:lastModifiedBy>
  <dcterms:created xsi:type="dcterms:W3CDTF">2021-12-01T14:36:40Z</dcterms:created>
  <dcterms:modified xsi:type="dcterms:W3CDTF">2021-12-01T14:37:41Z</dcterms:modified>
</cp:coreProperties>
</file>